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_streaming_data" sheetId="1" state="visible" r:id="rId1"/>
    <sheet xmlns:r="http://schemas.openxmlformats.org/officeDocument/2006/relationships" name="summary_by_tier" sheetId="2" state="visible" r:id="rId2"/>
    <sheet xmlns:r="http://schemas.openxmlformats.org/officeDocument/2006/relationships" name="platform_payout_rates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0" hidden="1">'artist_streaming_data'!$A$1:$O$129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0.000"/>
    <numFmt numFmtId="165" formatCode="$#,##0"/>
    <numFmt numFmtId="166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7B1FA2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b val="1"/>
      <color rgb="00C62828"/>
      <sz val="10"/>
    </font>
    <font>
      <name val="Arial"/>
      <b val="1"/>
      <color rgb="001DB954"/>
      <sz val="14"/>
    </font>
    <font>
      <name val="Arial"/>
      <i val="1"/>
      <color rgb="00666666"/>
      <sz val="9"/>
    </font>
    <font>
      <name val="Arial"/>
      <sz val="10"/>
    </font>
    <font>
      <name val="Arial"/>
      <b val="1"/>
      <color rgb="001DB954"/>
      <sz val="12"/>
    </font>
    <font>
      <name val="Arial"/>
      <b val="1"/>
      <sz val="10"/>
    </font>
    <font>
      <name val="Arial"/>
      <color rgb="001a73e8"/>
      <sz val="10"/>
    </font>
  </fonts>
  <fills count="9">
    <fill>
      <patternFill/>
    </fill>
    <fill>
      <patternFill patternType="gray125"/>
    </fill>
    <fill>
      <patternFill patternType="solid">
        <fgColor rgb="001DB954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E8F8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9" fontId="0" fillId="3" borderId="0" pivotButton="0" quotePrefix="0" xfId="0"/>
    <xf numFmtId="166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9" fontId="0" fillId="4" borderId="0" pivotButton="0" quotePrefix="0" xfId="0"/>
    <xf numFmtId="166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9" fontId="0" fillId="5" borderId="0" pivotButton="0" quotePrefix="0" xfId="0"/>
    <xf numFmtId="166" fontId="0" fillId="5" borderId="0" pivotButton="0" quotePrefix="0" xfId="0"/>
    <xf numFmtId="0" fontId="0" fillId="6" borderId="0" pivotButton="0" quotePrefix="0" xfId="0"/>
    <xf numFmtId="0" fontId="4" fillId="6" borderId="0" applyAlignment="1" pivotButton="0" quotePrefix="0" xfId="0">
      <alignment horizontal="center"/>
    </xf>
    <xf numFmtId="3" fontId="0" fillId="6" borderId="0" pivotButton="0" quotePrefix="0" xfId="0"/>
    <xf numFmtId="164" fontId="0" fillId="6" borderId="0" pivotButton="0" quotePrefix="0" xfId="0"/>
    <xf numFmtId="165" fontId="0" fillId="6" borderId="0" pivotButton="0" quotePrefix="0" xfId="0"/>
    <xf numFmtId="9" fontId="0" fillId="6" borderId="0" pivotButton="0" quotePrefix="0" xfId="0"/>
    <xf numFmtId="166" fontId="0" fillId="6" borderId="0" pivotButton="0" quotePrefix="0" xfId="0"/>
    <xf numFmtId="0" fontId="0" fillId="7" borderId="0" pivotButton="0" quotePrefix="0" xfId="0"/>
    <xf numFmtId="0" fontId="5" fillId="7" borderId="0" applyAlignment="1" pivotButton="0" quotePrefix="0" xfId="0">
      <alignment horizontal="center"/>
    </xf>
    <xf numFmtId="3" fontId="0" fillId="7" borderId="0" pivotButton="0" quotePrefix="0" xfId="0"/>
    <xf numFmtId="164" fontId="0" fillId="7" borderId="0" pivotButton="0" quotePrefix="0" xfId="0"/>
    <xf numFmtId="165" fontId="0" fillId="7" borderId="0" pivotButton="0" quotePrefix="0" xfId="0"/>
    <xf numFmtId="9" fontId="0" fillId="7" borderId="0" pivotButton="0" quotePrefix="0" xfId="0"/>
    <xf numFmtId="166" fontId="0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3" fontId="8" fillId="3" borderId="0" applyAlignment="1" pivotButton="0" quotePrefix="0" xfId="0">
      <alignment horizontal="center"/>
    </xf>
    <xf numFmtId="165" fontId="8" fillId="3" borderId="0" applyAlignment="1" pivotButton="0" quotePrefix="0" xfId="0">
      <alignment horizontal="center"/>
    </xf>
    <xf numFmtId="9" fontId="8" fillId="3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3" fontId="8" fillId="5" borderId="0" applyAlignment="1" pivotButton="0" quotePrefix="0" xfId="0">
      <alignment horizontal="center"/>
    </xf>
    <xf numFmtId="165" fontId="8" fillId="5" borderId="0" applyAlignment="1" pivotButton="0" quotePrefix="0" xfId="0">
      <alignment horizontal="center"/>
    </xf>
    <xf numFmtId="9" fontId="8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3" fontId="8" fillId="6" borderId="0" applyAlignment="1" pivotButton="0" quotePrefix="0" xfId="0">
      <alignment horizontal="center"/>
    </xf>
    <xf numFmtId="165" fontId="8" fillId="6" borderId="0" applyAlignment="1" pivotButton="0" quotePrefix="0" xfId="0">
      <alignment horizontal="center"/>
    </xf>
    <xf numFmtId="9" fontId="8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3" fontId="8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center"/>
    </xf>
    <xf numFmtId="9" fontId="8" fillId="7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wrapText="1"/>
    </xf>
    <xf numFmtId="0" fontId="0" fillId="8" borderId="0" pivotButton="0" quotePrefix="0" xfId="0"/>
    <xf numFmtId="164" fontId="0" fillId="8" borderId="0" pivotButton="0" quotePrefix="0" xfId="0"/>
    <xf numFmtId="3" fontId="0" fillId="8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26" customWidth="1" min="4" max="4"/>
    <col width="14" customWidth="1" min="5" max="5"/>
    <col width="22" customWidth="1" min="6" max="6"/>
    <col width="38" customWidth="1" min="7" max="7"/>
    <col width="22" customWidth="1" min="8" max="8"/>
    <col width="28" customWidth="1" min="9" max="9"/>
    <col width="18" customWidth="1" min="10" max="10"/>
    <col width="26" customWidth="1" min="11" max="11"/>
    <col width="20" customWidth="1" min="12" max="12"/>
    <col width="26" customWidth="1" min="13" max="13"/>
    <col width="28" customWidth="1" min="14" max="14"/>
    <col width="24" customWidth="1" min="15" max="15"/>
  </cols>
  <sheetData>
    <row r="1" ht="32" customHeight="1">
      <c r="A1" s="1" t="inlineStr">
        <is>
          <t>artist_name</t>
        </is>
      </c>
      <c r="B1" s="1" t="inlineStr">
        <is>
          <t>genre</t>
        </is>
      </c>
      <c r="C1" s="1" t="inlineStr">
        <is>
          <t>label_status</t>
        </is>
      </c>
      <c r="D1" s="1" t="inlineStr">
        <is>
          <t>label_name</t>
        </is>
      </c>
      <c r="E1" s="1" t="inlineStr">
        <is>
          <t>artist_tier</t>
        </is>
      </c>
      <c r="F1" s="1" t="inlineStr">
        <is>
          <t>total_annual_streams</t>
        </is>
      </c>
      <c r="G1" s="1" t="inlineStr">
        <is>
          <t>data_source</t>
        </is>
      </c>
      <c r="H1" s="1" t="inlineStr">
        <is>
          <t>payout_per_stream_usd</t>
        </is>
      </c>
      <c r="I1" s="1" t="inlineStr">
        <is>
          <t>gross_estimated_earnings_usd</t>
        </is>
      </c>
      <c r="J1" s="1" t="inlineStr">
        <is>
          <t>artist_share_pct</t>
        </is>
      </c>
      <c r="K1" s="1" t="inlineStr">
        <is>
          <t>artist_net_earnings_usd</t>
        </is>
      </c>
      <c r="L1" s="1" t="inlineStr">
        <is>
          <t>monthly_streams_est</t>
        </is>
      </c>
      <c r="M1" s="1" t="inlineStr">
        <is>
          <t>monthly_net_earnings_usd</t>
        </is>
      </c>
      <c r="N1" s="1" t="inlineStr">
        <is>
          <t>annual_streams_for_min_wage</t>
        </is>
      </c>
      <c r="O1" s="1" t="inlineStr">
        <is>
          <t>months_to_earn_min_wage</t>
        </is>
      </c>
    </row>
    <row r="2">
      <c r="A2" s="2" t="inlineStr">
        <is>
          <t>Bad Bunny</t>
        </is>
      </c>
      <c r="B2" s="2" t="inlineStr">
        <is>
          <t>Urban Latin</t>
        </is>
      </c>
      <c r="C2" s="2" t="inlineStr">
        <is>
          <t>Major</t>
        </is>
      </c>
      <c r="D2" s="2" t="inlineStr">
        <is>
          <t>Rimas Entertainment</t>
        </is>
      </c>
      <c r="E2" s="3" t="inlineStr">
        <is>
          <t>Superstar</t>
        </is>
      </c>
      <c r="F2" s="4" t="n">
        <v>37054834425</v>
      </c>
      <c r="G2" s="2" t="inlineStr">
        <is>
          <t>Kaggle - Most Streamed Spotify Songs 2024</t>
        </is>
      </c>
      <c r="H2" s="5" t="n">
        <v>0.004</v>
      </c>
      <c r="I2" s="6">
        <f>F2*H2</f>
        <v/>
      </c>
      <c r="J2" s="7" t="n">
        <v>0.2</v>
      </c>
      <c r="K2" s="6">
        <f>I2*J2</f>
        <v/>
      </c>
      <c r="L2" s="4">
        <f>ROUND(F2/12,0)</f>
        <v/>
      </c>
      <c r="M2" s="6">
        <f>L2*H2*J2</f>
        <v/>
      </c>
      <c r="N2" s="4">
        <f>ROUND(19488/H2,0)</f>
        <v/>
      </c>
      <c r="O2" s="8">
        <f>IFERROR(ROUND(N2/F2*12,1),"N/A")</f>
        <v/>
      </c>
    </row>
    <row r="3">
      <c r="A3" s="9" t="inlineStr">
        <is>
          <t>The Weeknd</t>
        </is>
      </c>
      <c r="B3" s="9" t="inlineStr">
        <is>
          <t>R&amp;B/Pop</t>
        </is>
      </c>
      <c r="C3" s="9" t="inlineStr">
        <is>
          <t>Major</t>
        </is>
      </c>
      <c r="D3" s="9" t="inlineStr">
        <is>
          <t>Republic Records</t>
        </is>
      </c>
      <c r="E3" s="3" t="inlineStr">
        <is>
          <t>Superstar</t>
        </is>
      </c>
      <c r="F3" s="10" t="n">
        <v>36948540278</v>
      </c>
      <c r="G3" s="9" t="inlineStr">
        <is>
          <t>Kaggle - Most Streamed Spotify Songs 2024</t>
        </is>
      </c>
      <c r="H3" s="11" t="n">
        <v>0.004</v>
      </c>
      <c r="I3" s="12">
        <f>F3*H3</f>
        <v/>
      </c>
      <c r="J3" s="13" t="n">
        <v>0.18</v>
      </c>
      <c r="K3" s="12">
        <f>I3*J3</f>
        <v/>
      </c>
      <c r="L3" s="10">
        <f>ROUND(F3/12,0)</f>
        <v/>
      </c>
      <c r="M3" s="12">
        <f>L3*H3*J3</f>
        <v/>
      </c>
      <c r="N3" s="10">
        <f>ROUND(19488/H3,0)</f>
        <v/>
      </c>
      <c r="O3" s="14">
        <f>IFERROR(ROUND(N3/F3*12,1),"N/A")</f>
        <v/>
      </c>
    </row>
    <row r="4">
      <c r="A4" s="2" t="inlineStr">
        <is>
          <t>Drake</t>
        </is>
      </c>
      <c r="B4" s="2" t="inlineStr">
        <is>
          <t>Hip-Hop</t>
        </is>
      </c>
      <c r="C4" s="2" t="inlineStr">
        <is>
          <t>Major</t>
        </is>
      </c>
      <c r="D4" s="2" t="inlineStr">
        <is>
          <t>Republic Records</t>
        </is>
      </c>
      <c r="E4" s="3" t="inlineStr">
        <is>
          <t>Superstar</t>
        </is>
      </c>
      <c r="F4" s="4" t="n">
        <v>34962157577</v>
      </c>
      <c r="G4" s="2" t="inlineStr">
        <is>
          <t>Kaggle - Most Streamed Spotify Songs 2024</t>
        </is>
      </c>
      <c r="H4" s="5" t="n">
        <v>0.004</v>
      </c>
      <c r="I4" s="6">
        <f>F4*H4</f>
        <v/>
      </c>
      <c r="J4" s="7" t="n">
        <v>0.25</v>
      </c>
      <c r="K4" s="6">
        <f>I4*J4</f>
        <v/>
      </c>
      <c r="L4" s="4">
        <f>ROUND(F4/12,0)</f>
        <v/>
      </c>
      <c r="M4" s="6">
        <f>L4*H4*J4</f>
        <v/>
      </c>
      <c r="N4" s="4">
        <f>ROUND(19488/H4,0)</f>
        <v/>
      </c>
      <c r="O4" s="8">
        <f>IFERROR(ROUND(N4/F4*12,1),"N/A")</f>
        <v/>
      </c>
    </row>
    <row r="5">
      <c r="A5" s="9" t="inlineStr">
        <is>
          <t>Taylor Swift</t>
        </is>
      </c>
      <c r="B5" s="9" t="inlineStr">
        <is>
          <t>Pop</t>
        </is>
      </c>
      <c r="C5" s="9" t="inlineStr">
        <is>
          <t>Major</t>
        </is>
      </c>
      <c r="D5" s="9" t="inlineStr">
        <is>
          <t>Republic Records</t>
        </is>
      </c>
      <c r="E5" s="3" t="inlineStr">
        <is>
          <t>Superstar</t>
        </is>
      </c>
      <c r="F5" s="10" t="n">
        <v>34470771165</v>
      </c>
      <c r="G5" s="9" t="inlineStr">
        <is>
          <t>Kaggle - Most Streamed Spotify Songs 2024</t>
        </is>
      </c>
      <c r="H5" s="11" t="n">
        <v>0.004</v>
      </c>
      <c r="I5" s="12">
        <f>F5*H5</f>
        <v/>
      </c>
      <c r="J5" s="13" t="n">
        <v>0.23</v>
      </c>
      <c r="K5" s="12">
        <f>I5*J5</f>
        <v/>
      </c>
      <c r="L5" s="10">
        <f>ROUND(F5/12,0)</f>
        <v/>
      </c>
      <c r="M5" s="12">
        <f>L5*H5*J5</f>
        <v/>
      </c>
      <c r="N5" s="10">
        <f>ROUND(19488/H5,0)</f>
        <v/>
      </c>
      <c r="O5" s="14">
        <f>IFERROR(ROUND(N5/F5*12,1),"N/A")</f>
        <v/>
      </c>
    </row>
    <row r="6">
      <c r="A6" s="2" t="inlineStr">
        <is>
          <t>Post Malone</t>
        </is>
      </c>
      <c r="B6" s="2" t="inlineStr">
        <is>
          <t>Pop/Hip-Hop</t>
        </is>
      </c>
      <c r="C6" s="2" t="inlineStr">
        <is>
          <t>Major</t>
        </is>
      </c>
      <c r="D6" s="2" t="inlineStr">
        <is>
          <t>Republic Records</t>
        </is>
      </c>
      <c r="E6" s="3" t="inlineStr">
        <is>
          <t>Superstar</t>
        </is>
      </c>
      <c r="F6" s="4" t="n">
        <v>26137472958</v>
      </c>
      <c r="G6" s="2" t="inlineStr">
        <is>
          <t>Kaggle - Most Streamed Spotify Songs 2024</t>
        </is>
      </c>
      <c r="H6" s="5" t="n">
        <v>0.004</v>
      </c>
      <c r="I6" s="6">
        <f>F6*H6</f>
        <v/>
      </c>
      <c r="J6" s="7" t="n">
        <v>0.18</v>
      </c>
      <c r="K6" s="6">
        <f>I6*J6</f>
        <v/>
      </c>
      <c r="L6" s="4">
        <f>ROUND(F6/12,0)</f>
        <v/>
      </c>
      <c r="M6" s="6">
        <f>L6*H6*J6</f>
        <v/>
      </c>
      <c r="N6" s="4">
        <f>ROUND(19488/H6,0)</f>
        <v/>
      </c>
      <c r="O6" s="8">
        <f>IFERROR(ROUND(N6/F6*12,1),"N/A")</f>
        <v/>
      </c>
    </row>
    <row r="7">
      <c r="A7" s="9" t="inlineStr">
        <is>
          <t>Ed Sheeran</t>
        </is>
      </c>
      <c r="B7" s="9" t="inlineStr">
        <is>
          <t>Pop</t>
        </is>
      </c>
      <c r="C7" s="9" t="inlineStr">
        <is>
          <t>Major</t>
        </is>
      </c>
      <c r="D7" s="9" t="inlineStr">
        <is>
          <t>Atlantic Records</t>
        </is>
      </c>
      <c r="E7" s="3" t="inlineStr">
        <is>
          <t>Superstar</t>
        </is>
      </c>
      <c r="F7" s="10" t="n">
        <v>24014900390</v>
      </c>
      <c r="G7" s="9" t="inlineStr">
        <is>
          <t>Kaggle - Most Streamed Spotify Songs 2024</t>
        </is>
      </c>
      <c r="H7" s="11" t="n">
        <v>0.004</v>
      </c>
      <c r="I7" s="12">
        <f>F7*H7</f>
        <v/>
      </c>
      <c r="J7" s="13" t="n">
        <v>0.2</v>
      </c>
      <c r="K7" s="12">
        <f>I7*J7</f>
        <v/>
      </c>
      <c r="L7" s="10">
        <f>ROUND(F7/12,0)</f>
        <v/>
      </c>
      <c r="M7" s="12">
        <f>L7*H7*J7</f>
        <v/>
      </c>
      <c r="N7" s="10">
        <f>ROUND(19488/H7,0)</f>
        <v/>
      </c>
      <c r="O7" s="14">
        <f>IFERROR(ROUND(N7/F7*12,1),"N/A")</f>
        <v/>
      </c>
    </row>
    <row r="8">
      <c r="A8" s="2" t="inlineStr">
        <is>
          <t>Ariana Grande</t>
        </is>
      </c>
      <c r="B8" s="2" t="inlineStr">
        <is>
          <t>Pop</t>
        </is>
      </c>
      <c r="C8" s="2" t="inlineStr">
        <is>
          <t>Major</t>
        </is>
      </c>
      <c r="D8" s="2" t="inlineStr">
        <is>
          <t>Republic Records</t>
        </is>
      </c>
      <c r="E8" s="3" t="inlineStr">
        <is>
          <t>Superstar</t>
        </is>
      </c>
      <c r="F8" s="4" t="n">
        <v>23464991696</v>
      </c>
      <c r="G8" s="2" t="inlineStr">
        <is>
          <t>Kaggle - Most Streamed Spotify Songs 2024</t>
        </is>
      </c>
      <c r="H8" s="5" t="n">
        <v>0.004</v>
      </c>
      <c r="I8" s="6">
        <f>F8*H8</f>
        <v/>
      </c>
      <c r="J8" s="7" t="n">
        <v>0.18</v>
      </c>
      <c r="K8" s="6">
        <f>I8*J8</f>
        <v/>
      </c>
      <c r="L8" s="4">
        <f>ROUND(F8/12,0)</f>
        <v/>
      </c>
      <c r="M8" s="6">
        <f>L8*H8*J8</f>
        <v/>
      </c>
      <c r="N8" s="4">
        <f>ROUND(19488/H8,0)</f>
        <v/>
      </c>
      <c r="O8" s="8">
        <f>IFERROR(ROUND(N8/F8*12,1),"N/A")</f>
        <v/>
      </c>
    </row>
    <row r="9">
      <c r="A9" s="9" t="inlineStr">
        <is>
          <t>MUSIC LAB JPN</t>
        </is>
      </c>
      <c r="B9" s="9" t="inlineStr">
        <is>
          <t>Lo-Fi/Ambient</t>
        </is>
      </c>
      <c r="C9" s="9" t="inlineStr">
        <is>
          <t>Independent</t>
        </is>
      </c>
      <c r="D9" s="9" t="inlineStr">
        <is>
          <t>Self-Released</t>
        </is>
      </c>
      <c r="E9" s="3" t="inlineStr">
        <is>
          <t>Superstar</t>
        </is>
      </c>
      <c r="F9" s="10" t="n">
        <v>22866685573</v>
      </c>
      <c r="G9" s="9" t="inlineStr">
        <is>
          <t>Kaggle - Most Streamed Spotify Songs 2024</t>
        </is>
      </c>
      <c r="H9" s="11" t="n">
        <v>0.004</v>
      </c>
      <c r="I9" s="12">
        <f>F9*H9</f>
        <v/>
      </c>
      <c r="J9" s="13" t="n">
        <v>0.85</v>
      </c>
      <c r="K9" s="12">
        <f>I9*J9</f>
        <v/>
      </c>
      <c r="L9" s="10">
        <f>ROUND(F9/12,0)</f>
        <v/>
      </c>
      <c r="M9" s="12">
        <f>L9*H9*J9</f>
        <v/>
      </c>
      <c r="N9" s="10">
        <f>ROUND(19488/H9,0)</f>
        <v/>
      </c>
      <c r="O9" s="14">
        <f>IFERROR(ROUND(N9/F9*12,1),"N/A")</f>
        <v/>
      </c>
    </row>
    <row r="10">
      <c r="A10" s="2" t="inlineStr">
        <is>
          <t>Olivia Rodrigo</t>
        </is>
      </c>
      <c r="B10" s="2" t="inlineStr">
        <is>
          <t>Pop/Alt</t>
        </is>
      </c>
      <c r="C10" s="2" t="inlineStr">
        <is>
          <t>Major</t>
        </is>
      </c>
      <c r="D10" s="2" t="inlineStr">
        <is>
          <t>Interscope Records</t>
        </is>
      </c>
      <c r="E10" s="3" t="inlineStr">
        <is>
          <t>Superstar</t>
        </is>
      </c>
      <c r="F10" s="4" t="n">
        <v>19729219749</v>
      </c>
      <c r="G10" s="2" t="inlineStr">
        <is>
          <t>Kaggle - Most Streamed Spotify Songs 2024</t>
        </is>
      </c>
      <c r="H10" s="5" t="n">
        <v>0.004</v>
      </c>
      <c r="I10" s="6">
        <f>F10*H10</f>
        <v/>
      </c>
      <c r="J10" s="7" t="n">
        <v>0.18</v>
      </c>
      <c r="K10" s="6">
        <f>I10*J10</f>
        <v/>
      </c>
      <c r="L10" s="4">
        <f>ROUND(F10/12,0)</f>
        <v/>
      </c>
      <c r="M10" s="6">
        <f>L10*H10*J10</f>
        <v/>
      </c>
      <c r="N10" s="4">
        <f>ROUND(19488/H10,0)</f>
        <v/>
      </c>
      <c r="O10" s="8">
        <f>IFERROR(ROUND(N10/F10*12,1),"N/A")</f>
        <v/>
      </c>
    </row>
    <row r="11">
      <c r="A11" s="9" t="inlineStr">
        <is>
          <t>Eminem</t>
        </is>
      </c>
      <c r="B11" s="9" t="inlineStr">
        <is>
          <t>Hip-Hop</t>
        </is>
      </c>
      <c r="C11" s="9" t="inlineStr">
        <is>
          <t>Major</t>
        </is>
      </c>
      <c r="D11" s="9" t="inlineStr">
        <is>
          <t>Aftermath/Interscope</t>
        </is>
      </c>
      <c r="E11" s="3" t="inlineStr">
        <is>
          <t>Superstar</t>
        </is>
      </c>
      <c r="F11" s="10" t="n">
        <v>18878880174</v>
      </c>
      <c r="G11" s="9" t="inlineStr">
        <is>
          <t>Kaggle - Most Streamed Spotify Songs 2024</t>
        </is>
      </c>
      <c r="H11" s="11" t="n">
        <v>0.004</v>
      </c>
      <c r="I11" s="12">
        <f>F11*H11</f>
        <v/>
      </c>
      <c r="J11" s="13" t="n">
        <v>0.25</v>
      </c>
      <c r="K11" s="12">
        <f>I11*J11</f>
        <v/>
      </c>
      <c r="L11" s="10">
        <f>ROUND(F11/12,0)</f>
        <v/>
      </c>
      <c r="M11" s="12">
        <f>L11*H11*J11</f>
        <v/>
      </c>
      <c r="N11" s="10">
        <f>ROUND(19488/H11,0)</f>
        <v/>
      </c>
      <c r="O11" s="14">
        <f>IFERROR(ROUND(N11/F11*12,1),"N/A")</f>
        <v/>
      </c>
    </row>
    <row r="12">
      <c r="A12" s="2" t="inlineStr">
        <is>
          <t>Harry Styles</t>
        </is>
      </c>
      <c r="B12" s="2" t="inlineStr">
        <is>
          <t>Pop</t>
        </is>
      </c>
      <c r="C12" s="2" t="inlineStr">
        <is>
          <t>Major</t>
        </is>
      </c>
      <c r="D12" s="2" t="inlineStr">
        <is>
          <t>Columbia Records</t>
        </is>
      </c>
      <c r="E12" s="3" t="inlineStr">
        <is>
          <t>Superstar</t>
        </is>
      </c>
      <c r="F12" s="4" t="n">
        <v>17353388340</v>
      </c>
      <c r="G12" s="2" t="inlineStr">
        <is>
          <t>Kaggle - Most Streamed Spotify Songs 2024</t>
        </is>
      </c>
      <c r="H12" s="5" t="n">
        <v>0.004</v>
      </c>
      <c r="I12" s="6">
        <f>F12*H12</f>
        <v/>
      </c>
      <c r="J12" s="7" t="n">
        <v>0.2</v>
      </c>
      <c r="K12" s="6">
        <f>I12*J12</f>
        <v/>
      </c>
      <c r="L12" s="4">
        <f>ROUND(F12/12,0)</f>
        <v/>
      </c>
      <c r="M12" s="6">
        <f>L12*H12*J12</f>
        <v/>
      </c>
      <c r="N12" s="4">
        <f>ROUND(19488/H12,0)</f>
        <v/>
      </c>
      <c r="O12" s="8">
        <f>IFERROR(ROUND(N12/F12*12,1),"N/A")</f>
        <v/>
      </c>
    </row>
    <row r="13">
      <c r="A13" s="9" t="inlineStr">
        <is>
          <t>Imagine Dragons</t>
        </is>
      </c>
      <c r="B13" s="9" t="inlineStr">
        <is>
          <t>Alt Rock</t>
        </is>
      </c>
      <c r="C13" s="9" t="inlineStr">
        <is>
          <t>Major</t>
        </is>
      </c>
      <c r="D13" s="9" t="inlineStr">
        <is>
          <t>KIDinaKORNER/Interscope</t>
        </is>
      </c>
      <c r="E13" s="3" t="inlineStr">
        <is>
          <t>Superstar</t>
        </is>
      </c>
      <c r="F13" s="10" t="n">
        <v>17157121647</v>
      </c>
      <c r="G13" s="9" t="inlineStr">
        <is>
          <t>Kaggle - Most Streamed Spotify Songs 2024</t>
        </is>
      </c>
      <c r="H13" s="11" t="n">
        <v>0.004</v>
      </c>
      <c r="I13" s="12">
        <f>F13*H13</f>
        <v/>
      </c>
      <c r="J13" s="13" t="n">
        <v>0.18</v>
      </c>
      <c r="K13" s="12">
        <f>I13*J13</f>
        <v/>
      </c>
      <c r="L13" s="10">
        <f>ROUND(F13/12,0)</f>
        <v/>
      </c>
      <c r="M13" s="12">
        <f>L13*H13*J13</f>
        <v/>
      </c>
      <c r="N13" s="10">
        <f>ROUND(19488/H13,0)</f>
        <v/>
      </c>
      <c r="O13" s="14">
        <f>IFERROR(ROUND(N13/F13*12,1),"N/A")</f>
        <v/>
      </c>
    </row>
    <row r="14">
      <c r="A14" s="2" t="inlineStr">
        <is>
          <t>XXXTENTACION</t>
        </is>
      </c>
      <c r="B14" s="2" t="inlineStr">
        <is>
          <t>Hip-Hop/Emo</t>
        </is>
      </c>
      <c r="C14" s="2" t="inlineStr">
        <is>
          <t>Major</t>
        </is>
      </c>
      <c r="D14" s="2" t="inlineStr">
        <is>
          <t>Bad Vibes Forever/Empire</t>
        </is>
      </c>
      <c r="E14" s="3" t="inlineStr">
        <is>
          <t>Superstar</t>
        </is>
      </c>
      <c r="F14" s="4" t="n">
        <v>16923515048</v>
      </c>
      <c r="G14" s="2" t="inlineStr">
        <is>
          <t>Kaggle - Most Streamed Spotify Songs 2024</t>
        </is>
      </c>
      <c r="H14" s="5" t="n">
        <v>0.004</v>
      </c>
      <c r="I14" s="6">
        <f>F14*H14</f>
        <v/>
      </c>
      <c r="J14" s="7" t="n">
        <v>0.18</v>
      </c>
      <c r="K14" s="6">
        <f>I14*J14</f>
        <v/>
      </c>
      <c r="L14" s="4">
        <f>ROUND(F14/12,0)</f>
        <v/>
      </c>
      <c r="M14" s="6">
        <f>L14*H14*J14</f>
        <v/>
      </c>
      <c r="N14" s="4">
        <f>ROUND(19488/H14,0)</f>
        <v/>
      </c>
      <c r="O14" s="8">
        <f>IFERROR(ROUND(N14/F14*12,1),"N/A")</f>
        <v/>
      </c>
    </row>
    <row r="15">
      <c r="A15" s="9" t="inlineStr">
        <is>
          <t>Billie Eilish</t>
        </is>
      </c>
      <c r="B15" s="9" t="inlineStr">
        <is>
          <t>Pop/Alt</t>
        </is>
      </c>
      <c r="C15" s="9" t="inlineStr">
        <is>
          <t>Major</t>
        </is>
      </c>
      <c r="D15" s="9" t="inlineStr">
        <is>
          <t>Interscope Records</t>
        </is>
      </c>
      <c r="E15" s="3" t="inlineStr">
        <is>
          <t>Superstar</t>
        </is>
      </c>
      <c r="F15" s="10" t="n">
        <v>16811833201</v>
      </c>
      <c r="G15" s="9" t="inlineStr">
        <is>
          <t>Kaggle - Most Streamed Spotify Songs 2024</t>
        </is>
      </c>
      <c r="H15" s="11" t="n">
        <v>0.004</v>
      </c>
      <c r="I15" s="12">
        <f>F15*H15</f>
        <v/>
      </c>
      <c r="J15" s="13" t="n">
        <v>0.18</v>
      </c>
      <c r="K15" s="12">
        <f>I15*J15</f>
        <v/>
      </c>
      <c r="L15" s="10">
        <f>ROUND(F15/12,0)</f>
        <v/>
      </c>
      <c r="M15" s="12">
        <f>L15*H15*J15</f>
        <v/>
      </c>
      <c r="N15" s="10">
        <f>ROUND(19488/H15,0)</f>
        <v/>
      </c>
      <c r="O15" s="14">
        <f>IFERROR(ROUND(N15/F15*12,1),"N/A")</f>
        <v/>
      </c>
    </row>
    <row r="16">
      <c r="A16" s="2" t="inlineStr">
        <is>
          <t>Justin Bieber</t>
        </is>
      </c>
      <c r="B16" s="2" t="inlineStr">
        <is>
          <t>Pop</t>
        </is>
      </c>
      <c r="C16" s="2" t="inlineStr">
        <is>
          <t>Major</t>
        </is>
      </c>
      <c r="D16" s="2" t="inlineStr">
        <is>
          <t>RBMG/Def Jam</t>
        </is>
      </c>
      <c r="E16" s="3" t="inlineStr">
        <is>
          <t>Superstar</t>
        </is>
      </c>
      <c r="F16" s="4" t="n">
        <v>16647801287</v>
      </c>
      <c r="G16" s="2" t="inlineStr">
        <is>
          <t>Kaggle - Most Streamed Spotify Songs 2024</t>
        </is>
      </c>
      <c r="H16" s="5" t="n">
        <v>0.004</v>
      </c>
      <c r="I16" s="6">
        <f>F16*H16</f>
        <v/>
      </c>
      <c r="J16" s="7" t="n">
        <v>0.2</v>
      </c>
      <c r="K16" s="6">
        <f>I16*J16</f>
        <v/>
      </c>
      <c r="L16" s="4">
        <f>ROUND(F16/12,0)</f>
        <v/>
      </c>
      <c r="M16" s="6">
        <f>L16*H16*J16</f>
        <v/>
      </c>
      <c r="N16" s="4">
        <f>ROUND(19488/H16,0)</f>
        <v/>
      </c>
      <c r="O16" s="8">
        <f>IFERROR(ROUND(N16/F16*12,1),"N/A")</f>
        <v/>
      </c>
    </row>
    <row r="17">
      <c r="A17" s="9" t="inlineStr">
        <is>
          <t>Travis Scott</t>
        </is>
      </c>
      <c r="B17" s="9" t="inlineStr">
        <is>
          <t>Hip-Hop</t>
        </is>
      </c>
      <c r="C17" s="9" t="inlineStr">
        <is>
          <t>Major</t>
        </is>
      </c>
      <c r="D17" s="9" t="inlineStr">
        <is>
          <t>Cactus Jack/Epic</t>
        </is>
      </c>
      <c r="E17" s="3" t="inlineStr">
        <is>
          <t>Superstar</t>
        </is>
      </c>
      <c r="F17" s="10" t="n">
        <v>16460200849</v>
      </c>
      <c r="G17" s="9" t="inlineStr">
        <is>
          <t>Kaggle - Most Streamed Spotify Songs 2024</t>
        </is>
      </c>
      <c r="H17" s="11" t="n">
        <v>0.004</v>
      </c>
      <c r="I17" s="12">
        <f>F17*H17</f>
        <v/>
      </c>
      <c r="J17" s="13" t="n">
        <v>0.2</v>
      </c>
      <c r="K17" s="12">
        <f>I17*J17</f>
        <v/>
      </c>
      <c r="L17" s="10">
        <f>ROUND(F17/12,0)</f>
        <v/>
      </c>
      <c r="M17" s="12">
        <f>L17*H17*J17</f>
        <v/>
      </c>
      <c r="N17" s="10">
        <f>ROUND(19488/H17,0)</f>
        <v/>
      </c>
      <c r="O17" s="14">
        <f>IFERROR(ROUND(N17/F17*12,1),"N/A")</f>
        <v/>
      </c>
    </row>
    <row r="18">
      <c r="A18" s="2" t="inlineStr">
        <is>
          <t>Bruno Mars</t>
        </is>
      </c>
      <c r="B18" s="2" t="inlineStr">
        <is>
          <t>Pop/R&amp;B</t>
        </is>
      </c>
      <c r="C18" s="2" t="inlineStr">
        <is>
          <t>Major</t>
        </is>
      </c>
      <c r="D18" s="2" t="inlineStr">
        <is>
          <t>Atlantic Records</t>
        </is>
      </c>
      <c r="E18" s="3" t="inlineStr">
        <is>
          <t>Superstar</t>
        </is>
      </c>
      <c r="F18" s="4" t="n">
        <v>16225111478</v>
      </c>
      <c r="G18" s="2" t="inlineStr">
        <is>
          <t>Kaggle - Most Streamed Spotify Songs 2024</t>
        </is>
      </c>
      <c r="H18" s="5" t="n">
        <v>0.004</v>
      </c>
      <c r="I18" s="6">
        <f>F18*H18</f>
        <v/>
      </c>
      <c r="J18" s="7" t="n">
        <v>0.2</v>
      </c>
      <c r="K18" s="6">
        <f>I18*J18</f>
        <v/>
      </c>
      <c r="L18" s="4">
        <f>ROUND(F18/12,0)</f>
        <v/>
      </c>
      <c r="M18" s="6">
        <f>L18*H18*J18</f>
        <v/>
      </c>
      <c r="N18" s="4">
        <f>ROUND(19488/H18,0)</f>
        <v/>
      </c>
      <c r="O18" s="8">
        <f>IFERROR(ROUND(N18/F18*12,1),"N/A")</f>
        <v/>
      </c>
    </row>
    <row r="19">
      <c r="A19" s="9" t="inlineStr">
        <is>
          <t>Maroon 5</t>
        </is>
      </c>
      <c r="B19" s="9" t="inlineStr">
        <is>
          <t>Pop/Rock</t>
        </is>
      </c>
      <c r="C19" s="9" t="inlineStr">
        <is>
          <t>Major</t>
        </is>
      </c>
      <c r="D19" s="9" t="inlineStr">
        <is>
          <t>Interscope Records</t>
        </is>
      </c>
      <c r="E19" s="3" t="inlineStr">
        <is>
          <t>Superstar</t>
        </is>
      </c>
      <c r="F19" s="10" t="n">
        <v>16000309235</v>
      </c>
      <c r="G19" s="9" t="inlineStr">
        <is>
          <t>Kaggle - Most Streamed Spotify Songs 2024</t>
        </is>
      </c>
      <c r="H19" s="11" t="n">
        <v>0.004</v>
      </c>
      <c r="I19" s="12">
        <f>F19*H19</f>
        <v/>
      </c>
      <c r="J19" s="13" t="n">
        <v>0.18</v>
      </c>
      <c r="K19" s="12">
        <f>I19*J19</f>
        <v/>
      </c>
      <c r="L19" s="10">
        <f>ROUND(F19/12,0)</f>
        <v/>
      </c>
      <c r="M19" s="12">
        <f>L19*H19*J19</f>
        <v/>
      </c>
      <c r="N19" s="10">
        <f>ROUND(19488/H19,0)</f>
        <v/>
      </c>
      <c r="O19" s="14">
        <f>IFERROR(ROUND(N19/F19*12,1),"N/A")</f>
        <v/>
      </c>
    </row>
    <row r="20">
      <c r="A20" s="2" t="inlineStr">
        <is>
          <t>Doja Cat</t>
        </is>
      </c>
      <c r="B20" s="2" t="inlineStr">
        <is>
          <t>Pop/R&amp;B</t>
        </is>
      </c>
      <c r="C20" s="2" t="inlineStr">
        <is>
          <t>Major</t>
        </is>
      </c>
      <c r="D20" s="2" t="inlineStr">
        <is>
          <t>RCA Records</t>
        </is>
      </c>
      <c r="E20" s="3" t="inlineStr">
        <is>
          <t>Superstar</t>
        </is>
      </c>
      <c r="F20" s="4" t="n">
        <v>15856288522</v>
      </c>
      <c r="G20" s="2" t="inlineStr">
        <is>
          <t>Kaggle - Most Streamed Spotify Songs 2024</t>
        </is>
      </c>
      <c r="H20" s="5" t="n">
        <v>0.004</v>
      </c>
      <c r="I20" s="6">
        <f>F20*H20</f>
        <v/>
      </c>
      <c r="J20" s="7" t="n">
        <v>0.18</v>
      </c>
      <c r="K20" s="6">
        <f>I20*J20</f>
        <v/>
      </c>
      <c r="L20" s="4">
        <f>ROUND(F20/12,0)</f>
        <v/>
      </c>
      <c r="M20" s="6">
        <f>L20*H20*J20</f>
        <v/>
      </c>
      <c r="N20" s="4">
        <f>ROUND(19488/H20,0)</f>
        <v/>
      </c>
      <c r="O20" s="8">
        <f>IFERROR(ROUND(N20/F20*12,1),"N/A")</f>
        <v/>
      </c>
    </row>
    <row r="21">
      <c r="A21" s="9" t="inlineStr">
        <is>
          <t>Dua Lipa</t>
        </is>
      </c>
      <c r="B21" s="9" t="inlineStr">
        <is>
          <t>Pop/Dance</t>
        </is>
      </c>
      <c r="C21" s="9" t="inlineStr">
        <is>
          <t>Major</t>
        </is>
      </c>
      <c r="D21" s="9" t="inlineStr">
        <is>
          <t>Warner Records</t>
        </is>
      </c>
      <c r="E21" s="3" t="inlineStr">
        <is>
          <t>Superstar</t>
        </is>
      </c>
      <c r="F21" s="10" t="n">
        <v>15649310557</v>
      </c>
      <c r="G21" s="9" t="inlineStr">
        <is>
          <t>Kaggle - Most Streamed Spotify Songs 2024</t>
        </is>
      </c>
      <c r="H21" s="11" t="n">
        <v>0.004</v>
      </c>
      <c r="I21" s="12">
        <f>F21*H21</f>
        <v/>
      </c>
      <c r="J21" s="13" t="n">
        <v>0.2</v>
      </c>
      <c r="K21" s="12">
        <f>I21*J21</f>
        <v/>
      </c>
      <c r="L21" s="10">
        <f>ROUND(F21/12,0)</f>
        <v/>
      </c>
      <c r="M21" s="12">
        <f>L21*H21*J21</f>
        <v/>
      </c>
      <c r="N21" s="10">
        <f>ROUND(19488/H21,0)</f>
        <v/>
      </c>
      <c r="O21" s="14">
        <f>IFERROR(ROUND(N21/F21*12,1),"N/A")</f>
        <v/>
      </c>
    </row>
    <row r="22">
      <c r="A22" s="2" t="inlineStr">
        <is>
          <t>Calvin Harris</t>
        </is>
      </c>
      <c r="B22" s="2" t="inlineStr">
        <is>
          <t>EDM/Dance</t>
        </is>
      </c>
      <c r="C22" s="2" t="inlineStr">
        <is>
          <t>Major</t>
        </is>
      </c>
      <c r="D22" s="2" t="inlineStr">
        <is>
          <t>Columbia Records</t>
        </is>
      </c>
      <c r="E22" s="3" t="inlineStr">
        <is>
          <t>Superstar</t>
        </is>
      </c>
      <c r="F22" s="4" t="n">
        <v>15536690468</v>
      </c>
      <c r="G22" s="2" t="inlineStr">
        <is>
          <t>Kaggle - Most Streamed Spotify Songs 2024</t>
        </is>
      </c>
      <c r="H22" s="5" t="n">
        <v>0.004</v>
      </c>
      <c r="I22" s="6">
        <f>F22*H22</f>
        <v/>
      </c>
      <c r="J22" s="7" t="n">
        <v>0.22</v>
      </c>
      <c r="K22" s="6">
        <f>I22*J22</f>
        <v/>
      </c>
      <c r="L22" s="4">
        <f>ROUND(F22/12,0)</f>
        <v/>
      </c>
      <c r="M22" s="6">
        <f>L22*H22*J22</f>
        <v/>
      </c>
      <c r="N22" s="4">
        <f>ROUND(19488/H22,0)</f>
        <v/>
      </c>
      <c r="O22" s="8">
        <f>IFERROR(ROUND(N22/F22*12,1),"N/A")</f>
        <v/>
      </c>
    </row>
    <row r="23">
      <c r="A23" s="9" t="inlineStr">
        <is>
          <t>Rihanna</t>
        </is>
      </c>
      <c r="B23" s="9" t="inlineStr">
        <is>
          <t>Pop/R&amp;B</t>
        </is>
      </c>
      <c r="C23" s="9" t="inlineStr">
        <is>
          <t>Major</t>
        </is>
      </c>
      <c r="D23" s="9" t="inlineStr">
        <is>
          <t>Def Jam</t>
        </is>
      </c>
      <c r="E23" s="3" t="inlineStr">
        <is>
          <t>Superstar</t>
        </is>
      </c>
      <c r="F23" s="10" t="n">
        <v>14523392765</v>
      </c>
      <c r="G23" s="9" t="inlineStr">
        <is>
          <t>Kaggle - Most Streamed Spotify Songs 2024</t>
        </is>
      </c>
      <c r="H23" s="11" t="n">
        <v>0.004</v>
      </c>
      <c r="I23" s="12">
        <f>F23*H23</f>
        <v/>
      </c>
      <c r="J23" s="13" t="n">
        <v>0.2</v>
      </c>
      <c r="K23" s="12">
        <f>I23*J23</f>
        <v/>
      </c>
      <c r="L23" s="10">
        <f>ROUND(F23/12,0)</f>
        <v/>
      </c>
      <c r="M23" s="12">
        <f>L23*H23*J23</f>
        <v/>
      </c>
      <c r="N23" s="10">
        <f>ROUND(19488/H23,0)</f>
        <v/>
      </c>
      <c r="O23" s="14">
        <f>IFERROR(ROUND(N23/F23*12,1),"N/A")</f>
        <v/>
      </c>
    </row>
    <row r="24">
      <c r="A24" s="2" t="inlineStr">
        <is>
          <t>Juice WRLD</t>
        </is>
      </c>
      <c r="B24" s="2" t="inlineStr">
        <is>
          <t>Hip-Hop/Emo</t>
        </is>
      </c>
      <c r="C24" s="2" t="inlineStr">
        <is>
          <t>Major</t>
        </is>
      </c>
      <c r="D24" s="2" t="inlineStr">
        <is>
          <t>Grade A/Interscope</t>
        </is>
      </c>
      <c r="E24" s="3" t="inlineStr">
        <is>
          <t>Superstar</t>
        </is>
      </c>
      <c r="F24" s="4" t="n">
        <v>14230348723</v>
      </c>
      <c r="G24" s="2" t="inlineStr">
        <is>
          <t>Kaggle - Most Streamed Spotify Songs 2024</t>
        </is>
      </c>
      <c r="H24" s="5" t="n">
        <v>0.004</v>
      </c>
      <c r="I24" s="6">
        <f>F24*H24</f>
        <v/>
      </c>
      <c r="J24" s="7" t="n">
        <v>0.18</v>
      </c>
      <c r="K24" s="6">
        <f>I24*J24</f>
        <v/>
      </c>
      <c r="L24" s="4">
        <f>ROUND(F24/12,0)</f>
        <v/>
      </c>
      <c r="M24" s="6">
        <f>L24*H24*J24</f>
        <v/>
      </c>
      <c r="N24" s="4">
        <f>ROUND(19488/H24,0)</f>
        <v/>
      </c>
      <c r="O24" s="8">
        <f>IFERROR(ROUND(N24/F24*12,1),"N/A")</f>
        <v/>
      </c>
    </row>
    <row r="25">
      <c r="A25" s="9" t="inlineStr">
        <is>
          <t>KAROL G</t>
        </is>
      </c>
      <c r="B25" s="9" t="inlineStr">
        <is>
          <t>Reggaeton</t>
        </is>
      </c>
      <c r="C25" s="9" t="inlineStr">
        <is>
          <t>Major</t>
        </is>
      </c>
      <c r="D25" s="9" t="inlineStr">
        <is>
          <t>Universal Music Latino</t>
        </is>
      </c>
      <c r="E25" s="3" t="inlineStr">
        <is>
          <t>Superstar</t>
        </is>
      </c>
      <c r="F25" s="10" t="n">
        <v>13763899676</v>
      </c>
      <c r="G25" s="9" t="inlineStr">
        <is>
          <t>Kaggle - Most Streamed Spotify Songs 2024</t>
        </is>
      </c>
      <c r="H25" s="11" t="n">
        <v>0.004</v>
      </c>
      <c r="I25" s="12">
        <f>F25*H25</f>
        <v/>
      </c>
      <c r="J25" s="13" t="n">
        <v>0.2</v>
      </c>
      <c r="K25" s="12">
        <f>I25*J25</f>
        <v/>
      </c>
      <c r="L25" s="10">
        <f>ROUND(F25/12,0)</f>
        <v/>
      </c>
      <c r="M25" s="12">
        <f>L25*H25*J25</f>
        <v/>
      </c>
      <c r="N25" s="10">
        <f>ROUND(19488/H25,0)</f>
        <v/>
      </c>
      <c r="O25" s="14">
        <f>IFERROR(ROUND(N25/F25*12,1),"N/A")</f>
        <v/>
      </c>
    </row>
    <row r="26">
      <c r="A26" s="2" t="inlineStr">
        <is>
          <t>Shawn Mendes</t>
        </is>
      </c>
      <c r="B26" s="2" t="inlineStr">
        <is>
          <t>Pop</t>
        </is>
      </c>
      <c r="C26" s="2" t="inlineStr">
        <is>
          <t>Major</t>
        </is>
      </c>
      <c r="D26" s="2" t="inlineStr">
        <is>
          <t>Island Records</t>
        </is>
      </c>
      <c r="E26" s="3" t="inlineStr">
        <is>
          <t>Superstar</t>
        </is>
      </c>
      <c r="F26" s="4" t="n">
        <v>13482702097</v>
      </c>
      <c r="G26" s="2" t="inlineStr">
        <is>
          <t>Kaggle - Most Streamed Spotify Songs 2024</t>
        </is>
      </c>
      <c r="H26" s="5" t="n">
        <v>0.004</v>
      </c>
      <c r="I26" s="6">
        <f>F26*H26</f>
        <v/>
      </c>
      <c r="J26" s="7" t="n">
        <v>0.18</v>
      </c>
      <c r="K26" s="6">
        <f>I26*J26</f>
        <v/>
      </c>
      <c r="L26" s="4">
        <f>ROUND(F26/12,0)</f>
        <v/>
      </c>
      <c r="M26" s="6">
        <f>L26*H26*J26</f>
        <v/>
      </c>
      <c r="N26" s="4">
        <f>ROUND(19488/H26,0)</f>
        <v/>
      </c>
      <c r="O26" s="8">
        <f>IFERROR(ROUND(N26/F26*12,1),"N/A")</f>
        <v/>
      </c>
    </row>
    <row r="27">
      <c r="A27" s="9" t="inlineStr">
        <is>
          <t>Miley Cyrus</t>
        </is>
      </c>
      <c r="B27" s="9" t="inlineStr">
        <is>
          <t>Pop/Rock</t>
        </is>
      </c>
      <c r="C27" s="9" t="inlineStr">
        <is>
          <t>Major</t>
        </is>
      </c>
      <c r="D27" s="9" t="inlineStr">
        <is>
          <t>Columbia Records</t>
        </is>
      </c>
      <c r="E27" s="3" t="inlineStr">
        <is>
          <t>Superstar</t>
        </is>
      </c>
      <c r="F27" s="10" t="n">
        <v>13248096043</v>
      </c>
      <c r="G27" s="9" t="inlineStr">
        <is>
          <t>Kaggle - Most Streamed Spotify Songs 2024</t>
        </is>
      </c>
      <c r="H27" s="11" t="n">
        <v>0.004</v>
      </c>
      <c r="I27" s="12">
        <f>F27*H27</f>
        <v/>
      </c>
      <c r="J27" s="13" t="n">
        <v>0.2</v>
      </c>
      <c r="K27" s="12">
        <f>I27*J27</f>
        <v/>
      </c>
      <c r="L27" s="10">
        <f>ROUND(F27/12,0)</f>
        <v/>
      </c>
      <c r="M27" s="12">
        <f>L27*H27*J27</f>
        <v/>
      </c>
      <c r="N27" s="10">
        <f>ROUND(19488/H27,0)</f>
        <v/>
      </c>
      <c r="O27" s="14">
        <f>IFERROR(ROUND(N27/F27*12,1),"N/A")</f>
        <v/>
      </c>
    </row>
    <row r="28">
      <c r="A28" s="2" t="inlineStr">
        <is>
          <t>Lil Nas X</t>
        </is>
      </c>
      <c r="B28" s="2" t="inlineStr">
        <is>
          <t>Pop/Hip-Hop</t>
        </is>
      </c>
      <c r="C28" s="2" t="inlineStr">
        <is>
          <t>Major</t>
        </is>
      </c>
      <c r="D28" s="2" t="inlineStr">
        <is>
          <t>Columbia Records</t>
        </is>
      </c>
      <c r="E28" s="3" t="inlineStr">
        <is>
          <t>Superstar</t>
        </is>
      </c>
      <c r="F28" s="4" t="n">
        <v>13155749174</v>
      </c>
      <c r="G28" s="2" t="inlineStr">
        <is>
          <t>Kaggle - Most Streamed Spotify Songs 2024</t>
        </is>
      </c>
      <c r="H28" s="5" t="n">
        <v>0.004</v>
      </c>
      <c r="I28" s="6">
        <f>F28*H28</f>
        <v/>
      </c>
      <c r="J28" s="7" t="n">
        <v>0.18</v>
      </c>
      <c r="K28" s="6">
        <f>I28*J28</f>
        <v/>
      </c>
      <c r="L28" s="4">
        <f>ROUND(F28/12,0)</f>
        <v/>
      </c>
      <c r="M28" s="6">
        <f>L28*H28*J28</f>
        <v/>
      </c>
      <c r="N28" s="4">
        <f>ROUND(19488/H28,0)</f>
        <v/>
      </c>
      <c r="O28" s="8">
        <f>IFERROR(ROUND(N28/F28*12,1),"N/A")</f>
        <v/>
      </c>
    </row>
    <row r="29">
      <c r="A29" s="9" t="inlineStr">
        <is>
          <t>Kendrick Lamar</t>
        </is>
      </c>
      <c r="B29" s="9" t="inlineStr">
        <is>
          <t>Hip-Hop</t>
        </is>
      </c>
      <c r="C29" s="9" t="inlineStr">
        <is>
          <t>Major</t>
        </is>
      </c>
      <c r="D29" s="9" t="inlineStr">
        <is>
          <t>pgLang/Interscope</t>
        </is>
      </c>
      <c r="E29" s="3" t="inlineStr">
        <is>
          <t>Superstar</t>
        </is>
      </c>
      <c r="F29" s="10" t="n">
        <v>12211410674</v>
      </c>
      <c r="G29" s="9" t="inlineStr">
        <is>
          <t>Kaggle - Most Streamed Spotify Songs 2024</t>
        </is>
      </c>
      <c r="H29" s="11" t="n">
        <v>0.004</v>
      </c>
      <c r="I29" s="12">
        <f>F29*H29</f>
        <v/>
      </c>
      <c r="J29" s="13" t="n">
        <v>0.22</v>
      </c>
      <c r="K29" s="12">
        <f>I29*J29</f>
        <v/>
      </c>
      <c r="L29" s="10">
        <f>ROUND(F29/12,0)</f>
        <v/>
      </c>
      <c r="M29" s="12">
        <f>L29*H29*J29</f>
        <v/>
      </c>
      <c r="N29" s="10">
        <f>ROUND(19488/H29,0)</f>
        <v/>
      </c>
      <c r="O29" s="14">
        <f>IFERROR(ROUND(N29/F29*12,1),"N/A")</f>
        <v/>
      </c>
    </row>
    <row r="30">
      <c r="A30" s="2" t="inlineStr">
        <is>
          <t>Coldplay</t>
        </is>
      </c>
      <c r="B30" s="2" t="inlineStr">
        <is>
          <t>Alt Rock</t>
        </is>
      </c>
      <c r="C30" s="2" t="inlineStr">
        <is>
          <t>Major</t>
        </is>
      </c>
      <c r="D30" s="2" t="inlineStr">
        <is>
          <t>Parlophone/Atlantic</t>
        </is>
      </c>
      <c r="E30" s="3" t="inlineStr">
        <is>
          <t>Superstar</t>
        </is>
      </c>
      <c r="F30" s="4" t="n">
        <v>11367958450</v>
      </c>
      <c r="G30" s="2" t="inlineStr">
        <is>
          <t>Kaggle - Most Streamed Spotify Songs 2024</t>
        </is>
      </c>
      <c r="H30" s="5" t="n">
        <v>0.004</v>
      </c>
      <c r="I30" s="6">
        <f>F30*H30</f>
        <v/>
      </c>
      <c r="J30" s="7" t="n">
        <v>0.22</v>
      </c>
      <c r="K30" s="6">
        <f>I30*J30</f>
        <v/>
      </c>
      <c r="L30" s="4">
        <f>ROUND(F30/12,0)</f>
        <v/>
      </c>
      <c r="M30" s="6">
        <f>L30*H30*J30</f>
        <v/>
      </c>
      <c r="N30" s="4">
        <f>ROUND(19488/H30,0)</f>
        <v/>
      </c>
      <c r="O30" s="8">
        <f>IFERROR(ROUND(N30/F30*12,1),"N/A")</f>
        <v/>
      </c>
    </row>
    <row r="31">
      <c r="A31" s="9" t="inlineStr">
        <is>
          <t>Sam Smith</t>
        </is>
      </c>
      <c r="B31" s="9" t="inlineStr">
        <is>
          <t>Pop/Soul</t>
        </is>
      </c>
      <c r="C31" s="9" t="inlineStr">
        <is>
          <t>Major</t>
        </is>
      </c>
      <c r="D31" s="9" t="inlineStr">
        <is>
          <t>Capitol Records</t>
        </is>
      </c>
      <c r="E31" s="3" t="inlineStr">
        <is>
          <t>Superstar</t>
        </is>
      </c>
      <c r="F31" s="10" t="n">
        <v>11254337243</v>
      </c>
      <c r="G31" s="9" t="inlineStr">
        <is>
          <t>Kaggle - Most Streamed Spotify Songs 2024</t>
        </is>
      </c>
      <c r="H31" s="11" t="n">
        <v>0.004</v>
      </c>
      <c r="I31" s="12">
        <f>F31*H31</f>
        <v/>
      </c>
      <c r="J31" s="13" t="n">
        <v>0.18</v>
      </c>
      <c r="K31" s="12">
        <f>I31*J31</f>
        <v/>
      </c>
      <c r="L31" s="10">
        <f>ROUND(F31/12,0)</f>
        <v/>
      </c>
      <c r="M31" s="12">
        <f>L31*H31*J31</f>
        <v/>
      </c>
      <c r="N31" s="10">
        <f>ROUND(19488/H31,0)</f>
        <v/>
      </c>
      <c r="O31" s="14">
        <f>IFERROR(ROUND(N31/F31*12,1),"N/A")</f>
        <v/>
      </c>
    </row>
    <row r="32">
      <c r="A32" s="2" t="inlineStr">
        <is>
          <t>Marshmello</t>
        </is>
      </c>
      <c r="B32" s="2" t="inlineStr">
        <is>
          <t>EDM</t>
        </is>
      </c>
      <c r="C32" s="2" t="inlineStr">
        <is>
          <t>Major</t>
        </is>
      </c>
      <c r="D32" s="2" t="inlineStr">
        <is>
          <t>Joytime Collective/Republic</t>
        </is>
      </c>
      <c r="E32" s="3" t="inlineStr">
        <is>
          <t>Superstar</t>
        </is>
      </c>
      <c r="F32" s="4" t="n">
        <v>11009774400</v>
      </c>
      <c r="G32" s="2" t="inlineStr">
        <is>
          <t>Kaggle - Most Streamed Spotify Songs 2024</t>
        </is>
      </c>
      <c r="H32" s="5" t="n">
        <v>0.004</v>
      </c>
      <c r="I32" s="6">
        <f>F32*H32</f>
        <v/>
      </c>
      <c r="J32" s="7" t="n">
        <v>0.2</v>
      </c>
      <c r="K32" s="6">
        <f>I32*J32</f>
        <v/>
      </c>
      <c r="L32" s="4">
        <f>ROUND(F32/12,0)</f>
        <v/>
      </c>
      <c r="M32" s="6">
        <f>L32*H32*J32</f>
        <v/>
      </c>
      <c r="N32" s="4">
        <f>ROUND(19488/H32,0)</f>
        <v/>
      </c>
      <c r="O32" s="8">
        <f>IFERROR(ROUND(N32/F32*12,1),"N/A")</f>
        <v/>
      </c>
    </row>
    <row r="33">
      <c r="A33" s="9" t="inlineStr">
        <is>
          <t>SZA</t>
        </is>
      </c>
      <c r="B33" s="9" t="inlineStr">
        <is>
          <t>R&amp;B</t>
        </is>
      </c>
      <c r="C33" s="9" t="inlineStr">
        <is>
          <t>Major</t>
        </is>
      </c>
      <c r="D33" s="9" t="inlineStr">
        <is>
          <t>Top Dawg/RCA</t>
        </is>
      </c>
      <c r="E33" s="3" t="inlineStr">
        <is>
          <t>Superstar</t>
        </is>
      </c>
      <c r="F33" s="10" t="n">
        <v>10641497175</v>
      </c>
      <c r="G33" s="9" t="inlineStr">
        <is>
          <t>Kaggle - Most Streamed Spotify Songs 2024</t>
        </is>
      </c>
      <c r="H33" s="11" t="n">
        <v>0.004</v>
      </c>
      <c r="I33" s="12">
        <f>F33*H33</f>
        <v/>
      </c>
      <c r="J33" s="13" t="n">
        <v>0.18</v>
      </c>
      <c r="K33" s="12">
        <f>I33*J33</f>
        <v/>
      </c>
      <c r="L33" s="10">
        <f>ROUND(F33/12,0)</f>
        <v/>
      </c>
      <c r="M33" s="12">
        <f>L33*H33*J33</f>
        <v/>
      </c>
      <c r="N33" s="10">
        <f>ROUND(19488/H33,0)</f>
        <v/>
      </c>
      <c r="O33" s="14">
        <f>IFERROR(ROUND(N33/F33*12,1),"N/A")</f>
        <v/>
      </c>
    </row>
    <row r="34">
      <c r="A34" s="2" t="inlineStr">
        <is>
          <t>Sia</t>
        </is>
      </c>
      <c r="B34" s="2" t="inlineStr">
        <is>
          <t>Pop/Dance</t>
        </is>
      </c>
      <c r="C34" s="2" t="inlineStr">
        <is>
          <t>Major</t>
        </is>
      </c>
      <c r="D34" s="2" t="inlineStr">
        <is>
          <t>Atlantic Records</t>
        </is>
      </c>
      <c r="E34" s="3" t="inlineStr">
        <is>
          <t>Superstar</t>
        </is>
      </c>
      <c r="F34" s="4" t="n">
        <v>10586689082</v>
      </c>
      <c r="G34" s="2" t="inlineStr">
        <is>
          <t>Kaggle - Most Streamed Spotify Songs 2024</t>
        </is>
      </c>
      <c r="H34" s="5" t="n">
        <v>0.004</v>
      </c>
      <c r="I34" s="6">
        <f>F34*H34</f>
        <v/>
      </c>
      <c r="J34" s="7" t="n">
        <v>0.2</v>
      </c>
      <c r="K34" s="6">
        <f>I34*J34</f>
        <v/>
      </c>
      <c r="L34" s="4">
        <f>ROUND(F34/12,0)</f>
        <v/>
      </c>
      <c r="M34" s="6">
        <f>L34*H34*J34</f>
        <v/>
      </c>
      <c r="N34" s="4">
        <f>ROUND(19488/H34,0)</f>
        <v/>
      </c>
      <c r="O34" s="8">
        <f>IFERROR(ROUND(N34/F34*12,1),"N/A")</f>
        <v/>
      </c>
    </row>
    <row r="35">
      <c r="A35" s="9" t="inlineStr">
        <is>
          <t>J Balvin</t>
        </is>
      </c>
      <c r="B35" s="9" t="inlineStr">
        <is>
          <t>Reggaeton</t>
        </is>
      </c>
      <c r="C35" s="9" t="inlineStr">
        <is>
          <t>Major</t>
        </is>
      </c>
      <c r="D35" s="9" t="inlineStr">
        <is>
          <t>Universal Music Latino</t>
        </is>
      </c>
      <c r="E35" s="3" t="inlineStr">
        <is>
          <t>Superstar</t>
        </is>
      </c>
      <c r="F35" s="10" t="n">
        <v>10558008602</v>
      </c>
      <c r="G35" s="9" t="inlineStr">
        <is>
          <t>Kaggle - Most Streamed Spotify Songs 2024</t>
        </is>
      </c>
      <c r="H35" s="11" t="n">
        <v>0.004</v>
      </c>
      <c r="I35" s="12">
        <f>F35*H35</f>
        <v/>
      </c>
      <c r="J35" s="13" t="n">
        <v>0.2</v>
      </c>
      <c r="K35" s="12">
        <f>I35*J35</f>
        <v/>
      </c>
      <c r="L35" s="10">
        <f>ROUND(F35/12,0)</f>
        <v/>
      </c>
      <c r="M35" s="12">
        <f>L35*H35*J35</f>
        <v/>
      </c>
      <c r="N35" s="10">
        <f>ROUND(19488/H35,0)</f>
        <v/>
      </c>
      <c r="O35" s="14">
        <f>IFERROR(ROUND(N35/F35*12,1),"N/A")</f>
        <v/>
      </c>
    </row>
    <row r="36">
      <c r="A36" s="2" t="inlineStr">
        <is>
          <t>Adele</t>
        </is>
      </c>
      <c r="B36" s="2" t="inlineStr">
        <is>
          <t>Soul/Pop</t>
        </is>
      </c>
      <c r="C36" s="2" t="inlineStr">
        <is>
          <t>Major</t>
        </is>
      </c>
      <c r="D36" s="2" t="inlineStr">
        <is>
          <t>Columbia Records</t>
        </is>
      </c>
      <c r="E36" s="3" t="inlineStr">
        <is>
          <t>Superstar</t>
        </is>
      </c>
      <c r="F36" s="4" t="n">
        <v>10409025462</v>
      </c>
      <c r="G36" s="2" t="inlineStr">
        <is>
          <t>Kaggle - Most Streamed Spotify Songs 2024</t>
        </is>
      </c>
      <c r="H36" s="5" t="n">
        <v>0.004</v>
      </c>
      <c r="I36" s="6">
        <f>F36*H36</f>
        <v/>
      </c>
      <c r="J36" s="7" t="n">
        <v>0.25</v>
      </c>
      <c r="K36" s="6">
        <f>I36*J36</f>
        <v/>
      </c>
      <c r="L36" s="4">
        <f>ROUND(F36/12,0)</f>
        <v/>
      </c>
      <c r="M36" s="6">
        <f>L36*H36*J36</f>
        <v/>
      </c>
      <c r="N36" s="4">
        <f>ROUND(19488/H36,0)</f>
        <v/>
      </c>
      <c r="O36" s="8">
        <f>IFERROR(ROUND(N36/F36*12,1),"N/A")</f>
        <v/>
      </c>
    </row>
    <row r="37">
      <c r="A37" s="9" t="inlineStr">
        <is>
          <t>The Chainsmokers</t>
        </is>
      </c>
      <c r="B37" s="9" t="inlineStr">
        <is>
          <t>EDM/Pop</t>
        </is>
      </c>
      <c r="C37" s="9" t="inlineStr">
        <is>
          <t>Major</t>
        </is>
      </c>
      <c r="D37" s="9" t="inlineStr">
        <is>
          <t>Disruptor/Columbia</t>
        </is>
      </c>
      <c r="E37" s="3" t="inlineStr">
        <is>
          <t>Superstar</t>
        </is>
      </c>
      <c r="F37" s="10" t="n">
        <v>10232303115</v>
      </c>
      <c r="G37" s="9" t="inlineStr">
        <is>
          <t>Kaggle - Most Streamed Spotify Songs 2024</t>
        </is>
      </c>
      <c r="H37" s="11" t="n">
        <v>0.004</v>
      </c>
      <c r="I37" s="12">
        <f>F37*H37</f>
        <v/>
      </c>
      <c r="J37" s="13" t="n">
        <v>0.2</v>
      </c>
      <c r="K37" s="12">
        <f>I37*J37</f>
        <v/>
      </c>
      <c r="L37" s="10">
        <f>ROUND(F37/12,0)</f>
        <v/>
      </c>
      <c r="M37" s="12">
        <f>L37*H37*J37</f>
        <v/>
      </c>
      <c r="N37" s="10">
        <f>ROUND(19488/H37,0)</f>
        <v/>
      </c>
      <c r="O37" s="14">
        <f>IFERROR(ROUND(N37/F37*12,1),"N/A")</f>
        <v/>
      </c>
    </row>
    <row r="38">
      <c r="A38" s="2" t="inlineStr">
        <is>
          <t>BTS</t>
        </is>
      </c>
      <c r="B38" s="2" t="inlineStr">
        <is>
          <t>K-Pop</t>
        </is>
      </c>
      <c r="C38" s="2" t="inlineStr">
        <is>
          <t>Major</t>
        </is>
      </c>
      <c r="D38" s="2" t="inlineStr">
        <is>
          <t>HYBE/Columbia</t>
        </is>
      </c>
      <c r="E38" s="3" t="inlineStr">
        <is>
          <t>Superstar</t>
        </is>
      </c>
      <c r="F38" s="4" t="n">
        <v>10100857672</v>
      </c>
      <c r="G38" s="2" t="inlineStr">
        <is>
          <t>Kaggle - Most Streamed Spotify Songs 2024</t>
        </is>
      </c>
      <c r="H38" s="5" t="n">
        <v>0.004</v>
      </c>
      <c r="I38" s="6">
        <f>F38*H38</f>
        <v/>
      </c>
      <c r="J38" s="7" t="n">
        <v>0.18</v>
      </c>
      <c r="K38" s="6">
        <f>I38*J38</f>
        <v/>
      </c>
      <c r="L38" s="4">
        <f>ROUND(F38/12,0)</f>
        <v/>
      </c>
      <c r="M38" s="6">
        <f>L38*H38*J38</f>
        <v/>
      </c>
      <c r="N38" s="4">
        <f>ROUND(19488/H38,0)</f>
        <v/>
      </c>
      <c r="O38" s="8">
        <f>IFERROR(ROUND(N38/F38*12,1),"N/A")</f>
        <v/>
      </c>
    </row>
    <row r="39">
      <c r="A39" s="9" t="inlineStr">
        <is>
          <t>Linkin Park</t>
        </is>
      </c>
      <c r="B39" s="9" t="inlineStr">
        <is>
          <t>Alt Rock/Nu-Metal</t>
        </is>
      </c>
      <c r="C39" s="9" t="inlineStr">
        <is>
          <t>Major</t>
        </is>
      </c>
      <c r="D39" s="9" t="inlineStr">
        <is>
          <t>Warner Records</t>
        </is>
      </c>
      <c r="E39" s="15" t="inlineStr">
        <is>
          <t>Established</t>
        </is>
      </c>
      <c r="F39" s="10" t="n">
        <v>9961838818</v>
      </c>
      <c r="G39" s="9" t="inlineStr">
        <is>
          <t>Kaggle - Most Streamed Spotify Songs 2024</t>
        </is>
      </c>
      <c r="H39" s="11" t="n">
        <v>0.004</v>
      </c>
      <c r="I39" s="12">
        <f>F39*H39</f>
        <v/>
      </c>
      <c r="J39" s="13" t="n">
        <v>0.22</v>
      </c>
      <c r="K39" s="12">
        <f>I39*J39</f>
        <v/>
      </c>
      <c r="L39" s="10">
        <f>ROUND(F39/12,0)</f>
        <v/>
      </c>
      <c r="M39" s="12">
        <f>L39*H39*J39</f>
        <v/>
      </c>
      <c r="N39" s="10">
        <f>ROUND(19488/H39,0)</f>
        <v/>
      </c>
      <c r="O39" s="14">
        <f>IFERROR(ROUND(N39/F39*12,1),"N/A")</f>
        <v/>
      </c>
    </row>
    <row r="40">
      <c r="A40" s="16" t="inlineStr">
        <is>
          <t>Arctic Monkeys</t>
        </is>
      </c>
      <c r="B40" s="16" t="inlineStr">
        <is>
          <t>Indie Rock</t>
        </is>
      </c>
      <c r="C40" s="16" t="inlineStr">
        <is>
          <t>Independent</t>
        </is>
      </c>
      <c r="D40" s="16" t="inlineStr">
        <is>
          <t>Domino Records</t>
        </is>
      </c>
      <c r="E40" s="15" t="inlineStr">
        <is>
          <t>Established</t>
        </is>
      </c>
      <c r="F40" s="17" t="n">
        <v>9910759289</v>
      </c>
      <c r="G40" s="16" t="inlineStr">
        <is>
          <t>Kaggle - Most Streamed Spotify Songs 2024</t>
        </is>
      </c>
      <c r="H40" s="18" t="n">
        <v>0.004</v>
      </c>
      <c r="I40" s="19">
        <f>F40*H40</f>
        <v/>
      </c>
      <c r="J40" s="20" t="n">
        <v>0.6</v>
      </c>
      <c r="K40" s="19">
        <f>I40*J40</f>
        <v/>
      </c>
      <c r="L40" s="17">
        <f>ROUND(F40/12,0)</f>
        <v/>
      </c>
      <c r="M40" s="19">
        <f>L40*H40*J40</f>
        <v/>
      </c>
      <c r="N40" s="17">
        <f>ROUND(19488/H40,0)</f>
        <v/>
      </c>
      <c r="O40" s="21">
        <f>IFERROR(ROUND(N40/F40*12,1),"N/A")</f>
        <v/>
      </c>
    </row>
    <row r="41">
      <c r="A41" s="9" t="inlineStr">
        <is>
          <t>Lady Gaga</t>
        </is>
      </c>
      <c r="B41" s="9" t="inlineStr">
        <is>
          <t>Pop</t>
        </is>
      </c>
      <c r="C41" s="9" t="inlineStr">
        <is>
          <t>Major</t>
        </is>
      </c>
      <c r="D41" s="9" t="inlineStr">
        <is>
          <t>Interscope Records</t>
        </is>
      </c>
      <c r="E41" s="15" t="inlineStr">
        <is>
          <t>Established</t>
        </is>
      </c>
      <c r="F41" s="10" t="n">
        <v>9873927386</v>
      </c>
      <c r="G41" s="9" t="inlineStr">
        <is>
          <t>Kaggle - Most Streamed Spotify Songs 2024</t>
        </is>
      </c>
      <c r="H41" s="11" t="n">
        <v>0.004</v>
      </c>
      <c r="I41" s="12">
        <f>F41*H41</f>
        <v/>
      </c>
      <c r="J41" s="13" t="n">
        <v>0.22</v>
      </c>
      <c r="K41" s="12">
        <f>I41*J41</f>
        <v/>
      </c>
      <c r="L41" s="10">
        <f>ROUND(F41/12,0)</f>
        <v/>
      </c>
      <c r="M41" s="12">
        <f>L41*H41*J41</f>
        <v/>
      </c>
      <c r="N41" s="10">
        <f>ROUND(19488/H41,0)</f>
        <v/>
      </c>
      <c r="O41" s="14">
        <f>IFERROR(ROUND(N41/F41*12,1),"N/A")</f>
        <v/>
      </c>
    </row>
    <row r="42">
      <c r="A42" s="16" t="inlineStr">
        <is>
          <t>Rauw Alejandro</t>
        </is>
      </c>
      <c r="B42" s="16" t="inlineStr">
        <is>
          <t>Reggaeton</t>
        </is>
      </c>
      <c r="C42" s="16" t="inlineStr">
        <is>
          <t>Major</t>
        </is>
      </c>
      <c r="D42" s="16" t="inlineStr">
        <is>
          <t>Duars/Sony</t>
        </is>
      </c>
      <c r="E42" s="15" t="inlineStr">
        <is>
          <t>Established</t>
        </is>
      </c>
      <c r="F42" s="17" t="n">
        <v>9335121499</v>
      </c>
      <c r="G42" s="16" t="inlineStr">
        <is>
          <t>Kaggle - Most Streamed Spotify Songs 2024</t>
        </is>
      </c>
      <c r="H42" s="18" t="n">
        <v>0.004</v>
      </c>
      <c r="I42" s="19">
        <f>F42*H42</f>
        <v/>
      </c>
      <c r="J42" s="20" t="n">
        <v>0.18</v>
      </c>
      <c r="K42" s="19">
        <f>I42*J42</f>
        <v/>
      </c>
      <c r="L42" s="17">
        <f>ROUND(F42/12,0)</f>
        <v/>
      </c>
      <c r="M42" s="19">
        <f>L42*H42*J42</f>
        <v/>
      </c>
      <c r="N42" s="17">
        <f>ROUND(19488/H42,0)</f>
        <v/>
      </c>
      <c r="O42" s="21">
        <f>IFERROR(ROUND(N42/F42*12,1),"N/A")</f>
        <v/>
      </c>
    </row>
    <row r="43">
      <c r="A43" s="9" t="inlineStr">
        <is>
          <t>The Kid LAROI</t>
        </is>
      </c>
      <c r="B43" s="9" t="inlineStr">
        <is>
          <t>Pop/Hip-Hop</t>
        </is>
      </c>
      <c r="C43" s="9" t="inlineStr">
        <is>
          <t>Major</t>
        </is>
      </c>
      <c r="D43" s="9" t="inlineStr">
        <is>
          <t>Columbia Records</t>
        </is>
      </c>
      <c r="E43" s="15" t="inlineStr">
        <is>
          <t>Established</t>
        </is>
      </c>
      <c r="F43" s="10" t="n">
        <v>8778226608</v>
      </c>
      <c r="G43" s="9" t="inlineStr">
        <is>
          <t>Kaggle - Most Streamed Spotify Songs 2024</t>
        </is>
      </c>
      <c r="H43" s="11" t="n">
        <v>0.004</v>
      </c>
      <c r="I43" s="12">
        <f>F43*H43</f>
        <v/>
      </c>
      <c r="J43" s="13" t="n">
        <v>0.18</v>
      </c>
      <c r="K43" s="12">
        <f>I43*J43</f>
        <v/>
      </c>
      <c r="L43" s="10">
        <f>ROUND(F43/12,0)</f>
        <v/>
      </c>
      <c r="M43" s="12">
        <f>L43*H43*J43</f>
        <v/>
      </c>
      <c r="N43" s="10">
        <f>ROUND(19488/H43,0)</f>
        <v/>
      </c>
      <c r="O43" s="14">
        <f>IFERROR(ROUND(N43/F43*12,1),"N/A")</f>
        <v/>
      </c>
    </row>
    <row r="44">
      <c r="A44" s="16" t="inlineStr">
        <is>
          <t>Morgan Wallen</t>
        </is>
      </c>
      <c r="B44" s="16" t="inlineStr">
        <is>
          <t>Country</t>
        </is>
      </c>
      <c r="C44" s="16" t="inlineStr">
        <is>
          <t>Major</t>
        </is>
      </c>
      <c r="D44" s="16" t="inlineStr">
        <is>
          <t>Big Loud/Republic</t>
        </is>
      </c>
      <c r="E44" s="15" t="inlineStr">
        <is>
          <t>Established</t>
        </is>
      </c>
      <c r="F44" s="17" t="n">
        <v>8539666164</v>
      </c>
      <c r="G44" s="16" t="inlineStr">
        <is>
          <t>Kaggle - Most Streamed Spotify Songs 2024</t>
        </is>
      </c>
      <c r="H44" s="18" t="n">
        <v>0.004</v>
      </c>
      <c r="I44" s="19">
        <f>F44*H44</f>
        <v/>
      </c>
      <c r="J44" s="20" t="n">
        <v>0.2</v>
      </c>
      <c r="K44" s="19">
        <f>I44*J44</f>
        <v/>
      </c>
      <c r="L44" s="17">
        <f>ROUND(F44/12,0)</f>
        <v/>
      </c>
      <c r="M44" s="19">
        <f>L44*H44*J44</f>
        <v/>
      </c>
      <c r="N44" s="17">
        <f>ROUND(19488/H44,0)</f>
        <v/>
      </c>
      <c r="O44" s="21">
        <f>IFERROR(ROUND(N44/F44*12,1),"N/A")</f>
        <v/>
      </c>
    </row>
    <row r="45">
      <c r="A45" s="9" t="inlineStr">
        <is>
          <t>DJ Snake</t>
        </is>
      </c>
      <c r="B45" s="9" t="inlineStr">
        <is>
          <t>EDM</t>
        </is>
      </c>
      <c r="C45" s="9" t="inlineStr">
        <is>
          <t>Major</t>
        </is>
      </c>
      <c r="D45" s="9" t="inlineStr">
        <is>
          <t>Interscope Records</t>
        </is>
      </c>
      <c r="E45" s="15" t="inlineStr">
        <is>
          <t>Established</t>
        </is>
      </c>
      <c r="F45" s="10" t="n">
        <v>8520178367</v>
      </c>
      <c r="G45" s="9" t="inlineStr">
        <is>
          <t>Kaggle - Most Streamed Spotify Songs 2024</t>
        </is>
      </c>
      <c r="H45" s="11" t="n">
        <v>0.004</v>
      </c>
      <c r="I45" s="12">
        <f>F45*H45</f>
        <v/>
      </c>
      <c r="J45" s="13" t="n">
        <v>0.2</v>
      </c>
      <c r="K45" s="12">
        <f>I45*J45</f>
        <v/>
      </c>
      <c r="L45" s="10">
        <f>ROUND(F45/12,0)</f>
        <v/>
      </c>
      <c r="M45" s="12">
        <f>L45*H45*J45</f>
        <v/>
      </c>
      <c r="N45" s="10">
        <f>ROUND(19488/H45,0)</f>
        <v/>
      </c>
      <c r="O45" s="14">
        <f>IFERROR(ROUND(N45/F45*12,1),"N/A")</f>
        <v/>
      </c>
    </row>
    <row r="46">
      <c r="A46" s="16" t="inlineStr">
        <is>
          <t>Lil Uzi Vert</t>
        </is>
      </c>
      <c r="B46" s="16" t="inlineStr">
        <is>
          <t>Hip-Hop</t>
        </is>
      </c>
      <c r="C46" s="16" t="inlineStr">
        <is>
          <t>Major</t>
        </is>
      </c>
      <c r="D46" s="16" t="inlineStr">
        <is>
          <t>Atlantic Records</t>
        </is>
      </c>
      <c r="E46" s="15" t="inlineStr">
        <is>
          <t>Established</t>
        </is>
      </c>
      <c r="F46" s="17" t="n">
        <v>8457508029</v>
      </c>
      <c r="G46" s="16" t="inlineStr">
        <is>
          <t>Kaggle - Most Streamed Spotify Songs 2024</t>
        </is>
      </c>
      <c r="H46" s="18" t="n">
        <v>0.004</v>
      </c>
      <c r="I46" s="19">
        <f>F46*H46</f>
        <v/>
      </c>
      <c r="J46" s="20" t="n">
        <v>0.18</v>
      </c>
      <c r="K46" s="19">
        <f>I46*J46</f>
        <v/>
      </c>
      <c r="L46" s="17">
        <f>ROUND(F46/12,0)</f>
        <v/>
      </c>
      <c r="M46" s="19">
        <f>L46*H46*J46</f>
        <v/>
      </c>
      <c r="N46" s="17">
        <f>ROUND(19488/H46,0)</f>
        <v/>
      </c>
      <c r="O46" s="21">
        <f>IFERROR(ROUND(N46/F46*12,1),"N/A")</f>
        <v/>
      </c>
    </row>
    <row r="47">
      <c r="A47" s="9" t="inlineStr">
        <is>
          <t>Avicii</t>
        </is>
      </c>
      <c r="B47" s="9" t="inlineStr">
        <is>
          <t>EDM</t>
        </is>
      </c>
      <c r="C47" s="9" t="inlineStr">
        <is>
          <t>Major</t>
        </is>
      </c>
      <c r="D47" s="9" t="inlineStr">
        <is>
          <t>PRMD/Island</t>
        </is>
      </c>
      <c r="E47" s="15" t="inlineStr">
        <is>
          <t>Established</t>
        </is>
      </c>
      <c r="F47" s="10" t="n">
        <v>8349211490</v>
      </c>
      <c r="G47" s="9" t="inlineStr">
        <is>
          <t>Kaggle - Most Streamed Spotify Songs 2024</t>
        </is>
      </c>
      <c r="H47" s="11" t="n">
        <v>0.004</v>
      </c>
      <c r="I47" s="12">
        <f>F47*H47</f>
        <v/>
      </c>
      <c r="J47" s="13" t="n">
        <v>0.22</v>
      </c>
      <c r="K47" s="12">
        <f>I47*J47</f>
        <v/>
      </c>
      <c r="L47" s="10">
        <f>ROUND(F47/12,0)</f>
        <v/>
      </c>
      <c r="M47" s="12">
        <f>L47*H47*J47</f>
        <v/>
      </c>
      <c r="N47" s="10">
        <f>ROUND(19488/H47,0)</f>
        <v/>
      </c>
      <c r="O47" s="14">
        <f>IFERROR(ROUND(N47/F47*12,1),"N/A")</f>
        <v/>
      </c>
    </row>
    <row r="48">
      <c r="A48" s="16" t="inlineStr">
        <is>
          <t>xSyborg</t>
        </is>
      </c>
      <c r="B48" s="16" t="inlineStr">
        <is>
          <t>Lo-Fi</t>
        </is>
      </c>
      <c r="C48" s="16" t="inlineStr">
        <is>
          <t>Independent</t>
        </is>
      </c>
      <c r="D48" s="16" t="inlineStr">
        <is>
          <t>Self-Released</t>
        </is>
      </c>
      <c r="E48" s="15" t="inlineStr">
        <is>
          <t>Established</t>
        </is>
      </c>
      <c r="F48" s="17" t="n">
        <v>8149684607</v>
      </c>
      <c r="G48" s="16" t="inlineStr">
        <is>
          <t>Kaggle - Most Streamed Spotify Songs 2024</t>
        </is>
      </c>
      <c r="H48" s="18" t="n">
        <v>0.004</v>
      </c>
      <c r="I48" s="19">
        <f>F48*H48</f>
        <v/>
      </c>
      <c r="J48" s="20" t="n">
        <v>0.85</v>
      </c>
      <c r="K48" s="19">
        <f>I48*J48</f>
        <v/>
      </c>
      <c r="L48" s="17">
        <f>ROUND(F48/12,0)</f>
        <v/>
      </c>
      <c r="M48" s="19">
        <f>L48*H48*J48</f>
        <v/>
      </c>
      <c r="N48" s="17">
        <f>ROUND(19488/H48,0)</f>
        <v/>
      </c>
      <c r="O48" s="21">
        <f>IFERROR(ROUND(N48/F48*12,1),"N/A")</f>
        <v/>
      </c>
    </row>
    <row r="49">
      <c r="A49" s="9" t="inlineStr">
        <is>
          <t>Lewis Capaldi</t>
        </is>
      </c>
      <c r="B49" s="9" t="inlineStr">
        <is>
          <t>Pop/Soul</t>
        </is>
      </c>
      <c r="C49" s="9" t="inlineStr">
        <is>
          <t>Major</t>
        </is>
      </c>
      <c r="D49" s="9" t="inlineStr">
        <is>
          <t>Capitol Records</t>
        </is>
      </c>
      <c r="E49" s="15" t="inlineStr">
        <is>
          <t>Established</t>
        </is>
      </c>
      <c r="F49" s="10" t="n">
        <v>8065035468</v>
      </c>
      <c r="G49" s="9" t="inlineStr">
        <is>
          <t>Kaggle - Most Streamed Spotify Songs 2024</t>
        </is>
      </c>
      <c r="H49" s="11" t="n">
        <v>0.004</v>
      </c>
      <c r="I49" s="12">
        <f>F49*H49</f>
        <v/>
      </c>
      <c r="J49" s="13" t="n">
        <v>0.18</v>
      </c>
      <c r="K49" s="12">
        <f>I49*J49</f>
        <v/>
      </c>
      <c r="L49" s="10">
        <f>ROUND(F49/12,0)</f>
        <v/>
      </c>
      <c r="M49" s="12">
        <f>L49*H49*J49</f>
        <v/>
      </c>
      <c r="N49" s="10">
        <f>ROUND(19488/H49,0)</f>
        <v/>
      </c>
      <c r="O49" s="14">
        <f>IFERROR(ROUND(N49/F49*12,1),"N/A")</f>
        <v/>
      </c>
    </row>
    <row r="50">
      <c r="A50" s="16" t="inlineStr">
        <is>
          <t>Katy Perry</t>
        </is>
      </c>
      <c r="B50" s="16" t="inlineStr">
        <is>
          <t>Pop</t>
        </is>
      </c>
      <c r="C50" s="16" t="inlineStr">
        <is>
          <t>Major</t>
        </is>
      </c>
      <c r="D50" s="16" t="inlineStr">
        <is>
          <t>Capitol Records</t>
        </is>
      </c>
      <c r="E50" s="15" t="inlineStr">
        <is>
          <t>Established</t>
        </is>
      </c>
      <c r="F50" s="17" t="n">
        <v>7919915969</v>
      </c>
      <c r="G50" s="16" t="inlineStr">
        <is>
          <t>Kaggle - Most Streamed Spotify Songs 2024</t>
        </is>
      </c>
      <c r="H50" s="18" t="n">
        <v>0.004</v>
      </c>
      <c r="I50" s="19">
        <f>F50*H50</f>
        <v/>
      </c>
      <c r="J50" s="20" t="n">
        <v>0.2</v>
      </c>
      <c r="K50" s="19">
        <f>I50*J50</f>
        <v/>
      </c>
      <c r="L50" s="17">
        <f>ROUND(F50/12,0)</f>
        <v/>
      </c>
      <c r="M50" s="19">
        <f>L50*H50*J50</f>
        <v/>
      </c>
      <c r="N50" s="17">
        <f>ROUND(19488/H50,0)</f>
        <v/>
      </c>
      <c r="O50" s="21">
        <f>IFERROR(ROUND(N50/F50*12,1),"N/A")</f>
        <v/>
      </c>
    </row>
    <row r="51">
      <c r="A51" s="9" t="inlineStr">
        <is>
          <t>Lil Baby</t>
        </is>
      </c>
      <c r="B51" s="9" t="inlineStr">
        <is>
          <t>Hip-Hop</t>
        </is>
      </c>
      <c r="C51" s="9" t="inlineStr">
        <is>
          <t>Major</t>
        </is>
      </c>
      <c r="D51" s="9" t="inlineStr">
        <is>
          <t>Quality Control/Capitol</t>
        </is>
      </c>
      <c r="E51" s="15" t="inlineStr">
        <is>
          <t>Established</t>
        </is>
      </c>
      <c r="F51" s="10" t="n">
        <v>7858337058</v>
      </c>
      <c r="G51" s="9" t="inlineStr">
        <is>
          <t>Kaggle - Most Streamed Spotify Songs 2024</t>
        </is>
      </c>
      <c r="H51" s="11" t="n">
        <v>0.004</v>
      </c>
      <c r="I51" s="12">
        <f>F51*H51</f>
        <v/>
      </c>
      <c r="J51" s="13" t="n">
        <v>0.18</v>
      </c>
      <c r="K51" s="12">
        <f>I51*J51</f>
        <v/>
      </c>
      <c r="L51" s="10">
        <f>ROUND(F51/12,0)</f>
        <v/>
      </c>
      <c r="M51" s="12">
        <f>L51*H51*J51</f>
        <v/>
      </c>
      <c r="N51" s="10">
        <f>ROUND(19488/H51,0)</f>
        <v/>
      </c>
      <c r="O51" s="14">
        <f>IFERROR(ROUND(N51/F51*12,1),"N/A")</f>
        <v/>
      </c>
    </row>
    <row r="52">
      <c r="A52" s="16" t="inlineStr">
        <is>
          <t>Pop Smoke</t>
        </is>
      </c>
      <c r="B52" s="16" t="inlineStr">
        <is>
          <t>Hip-Hop/Drill</t>
        </is>
      </c>
      <c r="C52" s="16" t="inlineStr">
        <is>
          <t>Major</t>
        </is>
      </c>
      <c r="D52" s="16" t="inlineStr">
        <is>
          <t>Victor Victor/Republic</t>
        </is>
      </c>
      <c r="E52" s="15" t="inlineStr">
        <is>
          <t>Established</t>
        </is>
      </c>
      <c r="F52" s="17" t="n">
        <v>7826178375</v>
      </c>
      <c r="G52" s="16" t="inlineStr">
        <is>
          <t>Kaggle - Most Streamed Spotify Songs 2024</t>
        </is>
      </c>
      <c r="H52" s="18" t="n">
        <v>0.004</v>
      </c>
      <c r="I52" s="19">
        <f>F52*H52</f>
        <v/>
      </c>
      <c r="J52" s="20" t="n">
        <v>0.18</v>
      </c>
      <c r="K52" s="19">
        <f>I52*J52</f>
        <v/>
      </c>
      <c r="L52" s="17">
        <f>ROUND(F52/12,0)</f>
        <v/>
      </c>
      <c r="M52" s="19">
        <f>L52*H52*J52</f>
        <v/>
      </c>
      <c r="N52" s="17">
        <f>ROUND(19488/H52,0)</f>
        <v/>
      </c>
      <c r="O52" s="21">
        <f>IFERROR(ROUND(N52/F52*12,1),"N/A")</f>
        <v/>
      </c>
    </row>
    <row r="53">
      <c r="A53" s="9" t="inlineStr">
        <is>
          <t>BLACKPINK</t>
        </is>
      </c>
      <c r="B53" s="9" t="inlineStr">
        <is>
          <t>K-Pop</t>
        </is>
      </c>
      <c r="C53" s="9" t="inlineStr">
        <is>
          <t>Major</t>
        </is>
      </c>
      <c r="D53" s="9" t="inlineStr">
        <is>
          <t>YG/Interscope</t>
        </is>
      </c>
      <c r="E53" s="15" t="inlineStr">
        <is>
          <t>Established</t>
        </is>
      </c>
      <c r="F53" s="10" t="n">
        <v>7243183900</v>
      </c>
      <c r="G53" s="9" t="inlineStr">
        <is>
          <t>Kaggle - Most Streamed Spotify Songs 2024</t>
        </is>
      </c>
      <c r="H53" s="11" t="n">
        <v>0.004</v>
      </c>
      <c r="I53" s="12">
        <f>F53*H53</f>
        <v/>
      </c>
      <c r="J53" s="13" t="n">
        <v>0.18</v>
      </c>
      <c r="K53" s="12">
        <f>I53*J53</f>
        <v/>
      </c>
      <c r="L53" s="10">
        <f>ROUND(F53/12,0)</f>
        <v/>
      </c>
      <c r="M53" s="12">
        <f>L53*H53*J53</f>
        <v/>
      </c>
      <c r="N53" s="10">
        <f>ROUND(19488/H53,0)</f>
        <v/>
      </c>
      <c r="O53" s="14">
        <f>IFERROR(ROUND(N53/F53*12,1),"N/A")</f>
        <v/>
      </c>
    </row>
    <row r="54">
      <c r="A54" s="16" t="inlineStr">
        <is>
          <t>Shakira</t>
        </is>
      </c>
      <c r="B54" s="16" t="inlineStr">
        <is>
          <t>Pop/Latin</t>
        </is>
      </c>
      <c r="C54" s="16" t="inlineStr">
        <is>
          <t>Major</t>
        </is>
      </c>
      <c r="D54" s="16" t="inlineStr">
        <is>
          <t>Sony Music Latin</t>
        </is>
      </c>
      <c r="E54" s="15" t="inlineStr">
        <is>
          <t>Established</t>
        </is>
      </c>
      <c r="F54" s="17" t="n">
        <v>7058580823</v>
      </c>
      <c r="G54" s="16" t="inlineStr">
        <is>
          <t>Kaggle - Most Streamed Spotify Songs 2024</t>
        </is>
      </c>
      <c r="H54" s="18" t="n">
        <v>0.004</v>
      </c>
      <c r="I54" s="19">
        <f>F54*H54</f>
        <v/>
      </c>
      <c r="J54" s="20" t="n">
        <v>0.22</v>
      </c>
      <c r="K54" s="19">
        <f>I54*J54</f>
        <v/>
      </c>
      <c r="L54" s="17">
        <f>ROUND(F54/12,0)</f>
        <v/>
      </c>
      <c r="M54" s="19">
        <f>L54*H54*J54</f>
        <v/>
      </c>
      <c r="N54" s="17">
        <f>ROUND(19488/H54,0)</f>
        <v/>
      </c>
      <c r="O54" s="21">
        <f>IFERROR(ROUND(N54/F54*12,1),"N/A")</f>
        <v/>
      </c>
    </row>
    <row r="55">
      <c r="A55" s="9" t="inlineStr">
        <is>
          <t>Kanye West</t>
        </is>
      </c>
      <c r="B55" s="9" t="inlineStr">
        <is>
          <t>Hip-Hop</t>
        </is>
      </c>
      <c r="C55" s="9" t="inlineStr">
        <is>
          <t>Major</t>
        </is>
      </c>
      <c r="D55" s="9" t="inlineStr">
        <is>
          <t>Def Jam</t>
        </is>
      </c>
      <c r="E55" s="15" t="inlineStr">
        <is>
          <t>Established</t>
        </is>
      </c>
      <c r="F55" s="10" t="n">
        <v>7026227668</v>
      </c>
      <c r="G55" s="9" t="inlineStr">
        <is>
          <t>Kaggle - Most Streamed Spotify Songs 2024</t>
        </is>
      </c>
      <c r="H55" s="11" t="n">
        <v>0.004</v>
      </c>
      <c r="I55" s="12">
        <f>F55*H55</f>
        <v/>
      </c>
      <c r="J55" s="13" t="n">
        <v>0.25</v>
      </c>
      <c r="K55" s="12">
        <f>I55*J55</f>
        <v/>
      </c>
      <c r="L55" s="10">
        <f>ROUND(F55/12,0)</f>
        <v/>
      </c>
      <c r="M55" s="12">
        <f>L55*H55*J55</f>
        <v/>
      </c>
      <c r="N55" s="10">
        <f>ROUND(19488/H55,0)</f>
        <v/>
      </c>
      <c r="O55" s="14">
        <f>IFERROR(ROUND(N55/F55*12,1),"N/A")</f>
        <v/>
      </c>
    </row>
    <row r="56">
      <c r="A56" s="16" t="inlineStr">
        <is>
          <t>Future</t>
        </is>
      </c>
      <c r="B56" s="16" t="inlineStr">
        <is>
          <t>Hip-Hop</t>
        </is>
      </c>
      <c r="C56" s="16" t="inlineStr">
        <is>
          <t>Major</t>
        </is>
      </c>
      <c r="D56" s="16" t="inlineStr">
        <is>
          <t>Freebandz/Epic</t>
        </is>
      </c>
      <c r="E56" s="15" t="inlineStr">
        <is>
          <t>Established</t>
        </is>
      </c>
      <c r="F56" s="17" t="n">
        <v>6953639603</v>
      </c>
      <c r="G56" s="16" t="inlineStr">
        <is>
          <t>Kaggle - Most Streamed Spotify Songs 2024</t>
        </is>
      </c>
      <c r="H56" s="18" t="n">
        <v>0.004</v>
      </c>
      <c r="I56" s="19">
        <f>F56*H56</f>
        <v/>
      </c>
      <c r="J56" s="20" t="n">
        <v>0.2</v>
      </c>
      <c r="K56" s="19">
        <f>I56*J56</f>
        <v/>
      </c>
      <c r="L56" s="17">
        <f>ROUND(F56/12,0)</f>
        <v/>
      </c>
      <c r="M56" s="19">
        <f>L56*H56*J56</f>
        <v/>
      </c>
      <c r="N56" s="17">
        <f>ROUND(19488/H56,0)</f>
        <v/>
      </c>
      <c r="O56" s="21">
        <f>IFERROR(ROUND(N56/F56*12,1),"N/A")</f>
        <v/>
      </c>
    </row>
    <row r="57">
      <c r="A57" s="9" t="inlineStr">
        <is>
          <t>Khalid</t>
        </is>
      </c>
      <c r="B57" s="9" t="inlineStr">
        <is>
          <t>R&amp;B/Soul</t>
        </is>
      </c>
      <c r="C57" s="9" t="inlineStr">
        <is>
          <t>Major</t>
        </is>
      </c>
      <c r="D57" s="9" t="inlineStr">
        <is>
          <t>Right Hand/RCA</t>
        </is>
      </c>
      <c r="E57" s="15" t="inlineStr">
        <is>
          <t>Established</t>
        </is>
      </c>
      <c r="F57" s="10" t="n">
        <v>6813412659</v>
      </c>
      <c r="G57" s="9" t="inlineStr">
        <is>
          <t>Kaggle - Most Streamed Spotify Songs 2024</t>
        </is>
      </c>
      <c r="H57" s="11" t="n">
        <v>0.004</v>
      </c>
      <c r="I57" s="12">
        <f>F57*H57</f>
        <v/>
      </c>
      <c r="J57" s="13" t="n">
        <v>0.18</v>
      </c>
      <c r="K57" s="12">
        <f>I57*J57</f>
        <v/>
      </c>
      <c r="L57" s="10">
        <f>ROUND(F57/12,0)</f>
        <v/>
      </c>
      <c r="M57" s="12">
        <f>L57*H57*J57</f>
        <v/>
      </c>
      <c r="N57" s="10">
        <f>ROUND(19488/H57,0)</f>
        <v/>
      </c>
      <c r="O57" s="14">
        <f>IFERROR(ROUND(N57/F57*12,1),"N/A")</f>
        <v/>
      </c>
    </row>
    <row r="58">
      <c r="A58" s="16" t="inlineStr">
        <is>
          <t>Metro Boomin</t>
        </is>
      </c>
      <c r="B58" s="16" t="inlineStr">
        <is>
          <t>Hip-Hop</t>
        </is>
      </c>
      <c r="C58" s="16" t="inlineStr">
        <is>
          <t>Major</t>
        </is>
      </c>
      <c r="D58" s="16" t="inlineStr">
        <is>
          <t>Boominati/Republic</t>
        </is>
      </c>
      <c r="E58" s="15" t="inlineStr">
        <is>
          <t>Established</t>
        </is>
      </c>
      <c r="F58" s="17" t="n">
        <v>6733923747</v>
      </c>
      <c r="G58" s="16" t="inlineStr">
        <is>
          <t>Kaggle - Most Streamed Spotify Songs 2024</t>
        </is>
      </c>
      <c r="H58" s="18" t="n">
        <v>0.004</v>
      </c>
      <c r="I58" s="19">
        <f>F58*H58</f>
        <v/>
      </c>
      <c r="J58" s="20" t="n">
        <v>0.2</v>
      </c>
      <c r="K58" s="19">
        <f>I58*J58</f>
        <v/>
      </c>
      <c r="L58" s="17">
        <f>ROUND(F58/12,0)</f>
        <v/>
      </c>
      <c r="M58" s="19">
        <f>L58*H58*J58</f>
        <v/>
      </c>
      <c r="N58" s="17">
        <f>ROUND(19488/H58,0)</f>
        <v/>
      </c>
      <c r="O58" s="21">
        <f>IFERROR(ROUND(N58/F58*12,1),"N/A")</f>
        <v/>
      </c>
    </row>
    <row r="59">
      <c r="A59" s="9" t="inlineStr">
        <is>
          <t>Maluma</t>
        </is>
      </c>
      <c r="B59" s="9" t="inlineStr">
        <is>
          <t>Reggaeton</t>
        </is>
      </c>
      <c r="C59" s="9" t="inlineStr">
        <is>
          <t>Major</t>
        </is>
      </c>
      <c r="D59" s="9" t="inlineStr">
        <is>
          <t>Sony Music Latin</t>
        </is>
      </c>
      <c r="E59" s="15" t="inlineStr">
        <is>
          <t>Established</t>
        </is>
      </c>
      <c r="F59" s="10" t="n">
        <v>6684791811</v>
      </c>
      <c r="G59" s="9" t="inlineStr">
        <is>
          <t>Kaggle - Most Streamed Spotify Songs 2024</t>
        </is>
      </c>
      <c r="H59" s="11" t="n">
        <v>0.004</v>
      </c>
      <c r="I59" s="12">
        <f>F59*H59</f>
        <v/>
      </c>
      <c r="J59" s="13" t="n">
        <v>0.2</v>
      </c>
      <c r="K59" s="12">
        <f>I59*J59</f>
        <v/>
      </c>
      <c r="L59" s="10">
        <f>ROUND(F59/12,0)</f>
        <v/>
      </c>
      <c r="M59" s="12">
        <f>L59*H59*J59</f>
        <v/>
      </c>
      <c r="N59" s="10">
        <f>ROUND(19488/H59,0)</f>
        <v/>
      </c>
      <c r="O59" s="14">
        <f>IFERROR(ROUND(N59/F59*12,1),"N/A")</f>
        <v/>
      </c>
    </row>
    <row r="60">
      <c r="A60" s="16" t="inlineStr">
        <is>
          <t>J. Cole</t>
        </is>
      </c>
      <c r="B60" s="16" t="inlineStr">
        <is>
          <t>Hip-Hop</t>
        </is>
      </c>
      <c r="C60" s="16" t="inlineStr">
        <is>
          <t>Major</t>
        </is>
      </c>
      <c r="D60" s="16" t="inlineStr">
        <is>
          <t>Dreamville/Interscope</t>
        </is>
      </c>
      <c r="E60" s="15" t="inlineStr">
        <is>
          <t>Established</t>
        </is>
      </c>
      <c r="F60" s="17" t="n">
        <v>6651193623</v>
      </c>
      <c r="G60" s="16" t="inlineStr">
        <is>
          <t>Kaggle - Most Streamed Spotify Songs 2024</t>
        </is>
      </c>
      <c r="H60" s="18" t="n">
        <v>0.004</v>
      </c>
      <c r="I60" s="19">
        <f>F60*H60</f>
        <v/>
      </c>
      <c r="J60" s="20" t="n">
        <v>0.22</v>
      </c>
      <c r="K60" s="19">
        <f>I60*J60</f>
        <v/>
      </c>
      <c r="L60" s="17">
        <f>ROUND(F60/12,0)</f>
        <v/>
      </c>
      <c r="M60" s="19">
        <f>L60*H60*J60</f>
        <v/>
      </c>
      <c r="N60" s="17">
        <f>ROUND(19488/H60,0)</f>
        <v/>
      </c>
      <c r="O60" s="21">
        <f>IFERROR(ROUND(N60/F60*12,1),"N/A")</f>
        <v/>
      </c>
    </row>
    <row r="61">
      <c r="A61" s="9" t="inlineStr">
        <is>
          <t>21 Savage</t>
        </is>
      </c>
      <c r="B61" s="9" t="inlineStr">
        <is>
          <t>Hip-Hop</t>
        </is>
      </c>
      <c r="C61" s="9" t="inlineStr">
        <is>
          <t>Major</t>
        </is>
      </c>
      <c r="D61" s="9" t="inlineStr">
        <is>
          <t>Slaughter Gang/Epic</t>
        </is>
      </c>
      <c r="E61" s="15" t="inlineStr">
        <is>
          <t>Established</t>
        </is>
      </c>
      <c r="F61" s="10" t="n">
        <v>6495838542</v>
      </c>
      <c r="G61" s="9" t="inlineStr">
        <is>
          <t>Kaggle - Most Streamed Spotify Songs 2024</t>
        </is>
      </c>
      <c r="H61" s="11" t="n">
        <v>0.004</v>
      </c>
      <c r="I61" s="12">
        <f>F61*H61</f>
        <v/>
      </c>
      <c r="J61" s="13" t="n">
        <v>0.18</v>
      </c>
      <c r="K61" s="12">
        <f>I61*J61</f>
        <v/>
      </c>
      <c r="L61" s="10">
        <f>ROUND(F61/12,0)</f>
        <v/>
      </c>
      <c r="M61" s="12">
        <f>L61*H61*J61</f>
        <v/>
      </c>
      <c r="N61" s="10">
        <f>ROUND(19488/H61,0)</f>
        <v/>
      </c>
      <c r="O61" s="14">
        <f>IFERROR(ROUND(N61/F61*12,1),"N/A")</f>
        <v/>
      </c>
    </row>
    <row r="62">
      <c r="A62" s="16" t="inlineStr">
        <is>
          <t>Twenty One Pilots</t>
        </is>
      </c>
      <c r="B62" s="16" t="inlineStr">
        <is>
          <t>Alt/Indie</t>
        </is>
      </c>
      <c r="C62" s="16" t="inlineStr">
        <is>
          <t>Major</t>
        </is>
      </c>
      <c r="D62" s="16" t="inlineStr">
        <is>
          <t>Fueled by Ramen/Atlantic</t>
        </is>
      </c>
      <c r="E62" s="15" t="inlineStr">
        <is>
          <t>Established</t>
        </is>
      </c>
      <c r="F62" s="17" t="n">
        <v>6355049142</v>
      </c>
      <c r="G62" s="16" t="inlineStr">
        <is>
          <t>Kaggle - Most Streamed Spotify Songs 2024</t>
        </is>
      </c>
      <c r="H62" s="18" t="n">
        <v>0.004</v>
      </c>
      <c r="I62" s="19">
        <f>F62*H62</f>
        <v/>
      </c>
      <c r="J62" s="20" t="n">
        <v>0.2</v>
      </c>
      <c r="K62" s="19">
        <f>I62*J62</f>
        <v/>
      </c>
      <c r="L62" s="17">
        <f>ROUND(F62/12,0)</f>
        <v/>
      </c>
      <c r="M62" s="19">
        <f>L62*H62*J62</f>
        <v/>
      </c>
      <c r="N62" s="17">
        <f>ROUND(19488/H62,0)</f>
        <v/>
      </c>
      <c r="O62" s="21">
        <f>IFERROR(ROUND(N62/F62*12,1),"N/A")</f>
        <v/>
      </c>
    </row>
    <row r="63">
      <c r="A63" s="9" t="inlineStr">
        <is>
          <t>Alan Walker</t>
        </is>
      </c>
      <c r="B63" s="9" t="inlineStr">
        <is>
          <t>EDM</t>
        </is>
      </c>
      <c r="C63" s="9" t="inlineStr">
        <is>
          <t>Independent</t>
        </is>
      </c>
      <c r="D63" s="9" t="inlineStr">
        <is>
          <t>MER Musikk</t>
        </is>
      </c>
      <c r="E63" s="15" t="inlineStr">
        <is>
          <t>Established</t>
        </is>
      </c>
      <c r="F63" s="10" t="n">
        <v>6250139406</v>
      </c>
      <c r="G63" s="9" t="inlineStr">
        <is>
          <t>Kaggle - Most Streamed Spotify Songs 2024</t>
        </is>
      </c>
      <c r="H63" s="11" t="n">
        <v>0.004</v>
      </c>
      <c r="I63" s="12">
        <f>F63*H63</f>
        <v/>
      </c>
      <c r="J63" s="13" t="n">
        <v>0.65</v>
      </c>
      <c r="K63" s="12">
        <f>I63*J63</f>
        <v/>
      </c>
      <c r="L63" s="10">
        <f>ROUND(F63/12,0)</f>
        <v/>
      </c>
      <c r="M63" s="12">
        <f>L63*H63*J63</f>
        <v/>
      </c>
      <c r="N63" s="10">
        <f>ROUND(19488/H63,0)</f>
        <v/>
      </c>
      <c r="O63" s="14">
        <f>IFERROR(ROUND(N63/F63*12,1),"N/A")</f>
        <v/>
      </c>
    </row>
    <row r="64">
      <c r="A64" s="16" t="inlineStr">
        <is>
          <t>Feid</t>
        </is>
      </c>
      <c r="B64" s="16" t="inlineStr">
        <is>
          <t>Urban Latin</t>
        </is>
      </c>
      <c r="C64" s="16" t="inlineStr">
        <is>
          <t>Major</t>
        </is>
      </c>
      <c r="D64" s="16" t="inlineStr">
        <is>
          <t>Interscope Records</t>
        </is>
      </c>
      <c r="E64" s="15" t="inlineStr">
        <is>
          <t>Established</t>
        </is>
      </c>
      <c r="F64" s="17" t="n">
        <v>6173431527</v>
      </c>
      <c r="G64" s="16" t="inlineStr">
        <is>
          <t>Kaggle - Most Streamed Spotify Songs 2024</t>
        </is>
      </c>
      <c r="H64" s="18" t="n">
        <v>0.004</v>
      </c>
      <c r="I64" s="19">
        <f>F64*H64</f>
        <v/>
      </c>
      <c r="J64" s="20" t="n">
        <v>0.18</v>
      </c>
      <c r="K64" s="19">
        <f>I64*J64</f>
        <v/>
      </c>
      <c r="L64" s="17">
        <f>ROUND(F64/12,0)</f>
        <v/>
      </c>
      <c r="M64" s="19">
        <f>L64*H64*J64</f>
        <v/>
      </c>
      <c r="N64" s="17">
        <f>ROUND(19488/H64,0)</f>
        <v/>
      </c>
      <c r="O64" s="21">
        <f>IFERROR(ROUND(N64/F64*12,1),"N/A")</f>
        <v/>
      </c>
    </row>
    <row r="65">
      <c r="A65" s="9" t="inlineStr">
        <is>
          <t>Hozier</t>
        </is>
      </c>
      <c r="B65" s="9" t="inlineStr">
        <is>
          <t>Indie Folk</t>
        </is>
      </c>
      <c r="C65" s="9" t="inlineStr">
        <is>
          <t>Major</t>
        </is>
      </c>
      <c r="D65" s="9" t="inlineStr">
        <is>
          <t>Island Records</t>
        </is>
      </c>
      <c r="E65" s="15" t="inlineStr">
        <is>
          <t>Established</t>
        </is>
      </c>
      <c r="F65" s="10" t="n">
        <v>6153005480</v>
      </c>
      <c r="G65" s="9" t="inlineStr">
        <is>
          <t>Kaggle - Most Streamed Spotify Songs 2024</t>
        </is>
      </c>
      <c r="H65" s="11" t="n">
        <v>0.004</v>
      </c>
      <c r="I65" s="12">
        <f>F65*H65</f>
        <v/>
      </c>
      <c r="J65" s="13" t="n">
        <v>0.2</v>
      </c>
      <c r="K65" s="12">
        <f>I65*J65</f>
        <v/>
      </c>
      <c r="L65" s="10">
        <f>ROUND(F65/12,0)</f>
        <v/>
      </c>
      <c r="M65" s="12">
        <f>L65*H65*J65</f>
        <v/>
      </c>
      <c r="N65" s="10">
        <f>ROUND(19488/H65,0)</f>
        <v/>
      </c>
      <c r="O65" s="14">
        <f>IFERROR(ROUND(N65/F65*12,1),"N/A")</f>
        <v/>
      </c>
    </row>
    <row r="66">
      <c r="A66" s="16" t="inlineStr">
        <is>
          <t>Peso Pluma</t>
        </is>
      </c>
      <c r="B66" s="16" t="inlineStr">
        <is>
          <t>Regional Mexican</t>
        </is>
      </c>
      <c r="C66" s="16" t="inlineStr">
        <is>
          <t>Independent</t>
        </is>
      </c>
      <c r="D66" s="16" t="inlineStr">
        <is>
          <t>Double P Records</t>
        </is>
      </c>
      <c r="E66" s="15" t="inlineStr">
        <is>
          <t>Established</t>
        </is>
      </c>
      <c r="F66" s="17" t="n">
        <v>6150121558</v>
      </c>
      <c r="G66" s="16" t="inlineStr">
        <is>
          <t>Kaggle - Most Streamed Spotify Songs 2024</t>
        </is>
      </c>
      <c r="H66" s="18" t="n">
        <v>0.004</v>
      </c>
      <c r="I66" s="19">
        <f>F66*H66</f>
        <v/>
      </c>
      <c r="J66" s="20" t="n">
        <v>0.75</v>
      </c>
      <c r="K66" s="19">
        <f>I66*J66</f>
        <v/>
      </c>
      <c r="L66" s="17">
        <f>ROUND(F66/12,0)</f>
        <v/>
      </c>
      <c r="M66" s="19">
        <f>L66*H66*J66</f>
        <v/>
      </c>
      <c r="N66" s="17">
        <f>ROUND(19488/H66,0)</f>
        <v/>
      </c>
      <c r="O66" s="21">
        <f>IFERROR(ROUND(N66/F66*12,1),"N/A")</f>
        <v/>
      </c>
    </row>
    <row r="67">
      <c r="A67" s="9" t="inlineStr">
        <is>
          <t>Tate McRae</t>
        </is>
      </c>
      <c r="B67" s="9" t="inlineStr">
        <is>
          <t>Pop</t>
        </is>
      </c>
      <c r="C67" s="9" t="inlineStr">
        <is>
          <t>Major</t>
        </is>
      </c>
      <c r="D67" s="9" t="inlineStr">
        <is>
          <t>RCA Records</t>
        </is>
      </c>
      <c r="E67" s="15" t="inlineStr">
        <is>
          <t>Established</t>
        </is>
      </c>
      <c r="F67" s="10" t="n">
        <v>6128496569</v>
      </c>
      <c r="G67" s="9" t="inlineStr">
        <is>
          <t>Kaggle - Most Streamed Spotify Songs 2024</t>
        </is>
      </c>
      <c r="H67" s="11" t="n">
        <v>0.004</v>
      </c>
      <c r="I67" s="12">
        <f>F67*H67</f>
        <v/>
      </c>
      <c r="J67" s="13" t="n">
        <v>0.18</v>
      </c>
      <c r="K67" s="12">
        <f>I67*J67</f>
        <v/>
      </c>
      <c r="L67" s="10">
        <f>ROUND(F67/12,0)</f>
        <v/>
      </c>
      <c r="M67" s="12">
        <f>L67*H67*J67</f>
        <v/>
      </c>
      <c r="N67" s="10">
        <f>ROUND(19488/H67,0)</f>
        <v/>
      </c>
      <c r="O67" s="14">
        <f>IFERROR(ROUND(N67/F67*12,1),"N/A")</f>
        <v/>
      </c>
    </row>
    <row r="68">
      <c r="A68" s="16" t="inlineStr">
        <is>
          <t>Charlie Puth</t>
        </is>
      </c>
      <c r="B68" s="16" t="inlineStr">
        <is>
          <t>Pop</t>
        </is>
      </c>
      <c r="C68" s="16" t="inlineStr">
        <is>
          <t>Major</t>
        </is>
      </c>
      <c r="D68" s="16" t="inlineStr">
        <is>
          <t>Atlantic Records</t>
        </is>
      </c>
      <c r="E68" s="15" t="inlineStr">
        <is>
          <t>Established</t>
        </is>
      </c>
      <c r="F68" s="17" t="n">
        <v>6034554130</v>
      </c>
      <c r="G68" s="16" t="inlineStr">
        <is>
          <t>Kaggle - Most Streamed Spotify Songs 2024</t>
        </is>
      </c>
      <c r="H68" s="18" t="n">
        <v>0.004</v>
      </c>
      <c r="I68" s="19">
        <f>F68*H68</f>
        <v/>
      </c>
      <c r="J68" s="20" t="n">
        <v>0.18</v>
      </c>
      <c r="K68" s="19">
        <f>I68*J68</f>
        <v/>
      </c>
      <c r="L68" s="17">
        <f>ROUND(F68/12,0)</f>
        <v/>
      </c>
      <c r="M68" s="19">
        <f>L68*H68*J68</f>
        <v/>
      </c>
      <c r="N68" s="17">
        <f>ROUND(19488/H68,0)</f>
        <v/>
      </c>
      <c r="O68" s="21">
        <f>IFERROR(ROUND(N68/F68*12,1),"N/A")</f>
        <v/>
      </c>
    </row>
    <row r="69">
      <c r="A69" s="9" t="inlineStr">
        <is>
          <t>Cardi B</t>
        </is>
      </c>
      <c r="B69" s="9" t="inlineStr">
        <is>
          <t>Hip-Hop</t>
        </is>
      </c>
      <c r="C69" s="9" t="inlineStr">
        <is>
          <t>Major</t>
        </is>
      </c>
      <c r="D69" s="9" t="inlineStr">
        <is>
          <t>Atlantic Records</t>
        </is>
      </c>
      <c r="E69" s="15" t="inlineStr">
        <is>
          <t>Established</t>
        </is>
      </c>
      <c r="F69" s="10" t="n">
        <v>5986549832</v>
      </c>
      <c r="G69" s="9" t="inlineStr">
        <is>
          <t>Kaggle - Most Streamed Spotify Songs 2024</t>
        </is>
      </c>
      <c r="H69" s="11" t="n">
        <v>0.004</v>
      </c>
      <c r="I69" s="12">
        <f>F69*H69</f>
        <v/>
      </c>
      <c r="J69" s="13" t="n">
        <v>0.18</v>
      </c>
      <c r="K69" s="12">
        <f>I69*J69</f>
        <v/>
      </c>
      <c r="L69" s="10">
        <f>ROUND(F69/12,0)</f>
        <v/>
      </c>
      <c r="M69" s="12">
        <f>L69*H69*J69</f>
        <v/>
      </c>
      <c r="N69" s="10">
        <f>ROUND(19488/H69,0)</f>
        <v/>
      </c>
      <c r="O69" s="14">
        <f>IFERROR(ROUND(N69/F69*12,1),"N/A")</f>
        <v/>
      </c>
    </row>
    <row r="70">
      <c r="A70" s="16" t="inlineStr">
        <is>
          <t>Ozuna</t>
        </is>
      </c>
      <c r="B70" s="16" t="inlineStr">
        <is>
          <t>Reggaeton</t>
        </is>
      </c>
      <c r="C70" s="16" t="inlineStr">
        <is>
          <t>Major</t>
        </is>
      </c>
      <c r="D70" s="16" t="inlineStr">
        <is>
          <t>Sony Music Latin</t>
        </is>
      </c>
      <c r="E70" s="15" t="inlineStr">
        <is>
          <t>Established</t>
        </is>
      </c>
      <c r="F70" s="17" t="n">
        <v>5981912575</v>
      </c>
      <c r="G70" s="16" t="inlineStr">
        <is>
          <t>Kaggle - Most Streamed Spotify Songs 2024</t>
        </is>
      </c>
      <c r="H70" s="18" t="n">
        <v>0.004</v>
      </c>
      <c r="I70" s="19">
        <f>F70*H70</f>
        <v/>
      </c>
      <c r="J70" s="20" t="n">
        <v>0.2</v>
      </c>
      <c r="K70" s="19">
        <f>I70*J70</f>
        <v/>
      </c>
      <c r="L70" s="17">
        <f>ROUND(F70/12,0)</f>
        <v/>
      </c>
      <c r="M70" s="19">
        <f>L70*H70*J70</f>
        <v/>
      </c>
      <c r="N70" s="17">
        <f>ROUND(19488/H70,0)</f>
        <v/>
      </c>
      <c r="O70" s="21">
        <f>IFERROR(ROUND(N70/F70*12,1),"N/A")</f>
        <v/>
      </c>
    </row>
    <row r="71">
      <c r="A71" s="9" t="inlineStr">
        <is>
          <t>Bizarrap</t>
        </is>
      </c>
      <c r="B71" s="9" t="inlineStr">
        <is>
          <t>EDM/Latin</t>
        </is>
      </c>
      <c r="C71" s="9" t="inlineStr">
        <is>
          <t>Independent</t>
        </is>
      </c>
      <c r="D71" s="9" t="inlineStr">
        <is>
          <t>Self-Released</t>
        </is>
      </c>
      <c r="E71" s="15" t="inlineStr">
        <is>
          <t>Established</t>
        </is>
      </c>
      <c r="F71" s="10" t="n">
        <v>5941483443</v>
      </c>
      <c r="G71" s="9" t="inlineStr">
        <is>
          <t>Kaggle - Most Streamed Spotify Songs 2024</t>
        </is>
      </c>
      <c r="H71" s="11" t="n">
        <v>0.004</v>
      </c>
      <c r="I71" s="12">
        <f>F71*H71</f>
        <v/>
      </c>
      <c r="J71" s="13" t="n">
        <v>0.8</v>
      </c>
      <c r="K71" s="12">
        <f>I71*J71</f>
        <v/>
      </c>
      <c r="L71" s="10">
        <f>ROUND(F71/12,0)</f>
        <v/>
      </c>
      <c r="M71" s="12">
        <f>L71*H71*J71</f>
        <v/>
      </c>
      <c r="N71" s="10">
        <f>ROUND(19488/H71,0)</f>
        <v/>
      </c>
      <c r="O71" s="14">
        <f>IFERROR(ROUND(N71/F71*12,1),"N/A")</f>
        <v/>
      </c>
    </row>
    <row r="72">
      <c r="A72" s="16" t="inlineStr">
        <is>
          <t>Camila Cabello</t>
        </is>
      </c>
      <c r="B72" s="16" t="inlineStr">
        <is>
          <t>Pop</t>
        </is>
      </c>
      <c r="C72" s="16" t="inlineStr">
        <is>
          <t>Major</t>
        </is>
      </c>
      <c r="D72" s="16" t="inlineStr">
        <is>
          <t>Epic Records</t>
        </is>
      </c>
      <c r="E72" s="15" t="inlineStr">
        <is>
          <t>Established</t>
        </is>
      </c>
      <c r="F72" s="17" t="n">
        <v>5662877126</v>
      </c>
      <c r="G72" s="16" t="inlineStr">
        <is>
          <t>Kaggle - Most Streamed Spotify Songs 2024</t>
        </is>
      </c>
      <c r="H72" s="18" t="n">
        <v>0.004</v>
      </c>
      <c r="I72" s="19">
        <f>F72*H72</f>
        <v/>
      </c>
      <c r="J72" s="20" t="n">
        <v>0.18</v>
      </c>
      <c r="K72" s="19">
        <f>I72*J72</f>
        <v/>
      </c>
      <c r="L72" s="17">
        <f>ROUND(F72/12,0)</f>
        <v/>
      </c>
      <c r="M72" s="19">
        <f>L72*H72*J72</f>
        <v/>
      </c>
      <c r="N72" s="17">
        <f>ROUND(19488/H72,0)</f>
        <v/>
      </c>
      <c r="O72" s="21">
        <f>IFERROR(ROUND(N72/F72*12,1),"N/A")</f>
        <v/>
      </c>
    </row>
    <row r="73">
      <c r="A73" s="9" t="inlineStr">
        <is>
          <t>Anuel AA</t>
        </is>
      </c>
      <c r="B73" s="9" t="inlineStr">
        <is>
          <t>Reggaeton</t>
        </is>
      </c>
      <c r="C73" s="9" t="inlineStr">
        <is>
          <t>Major</t>
        </is>
      </c>
      <c r="D73" s="9" t="inlineStr">
        <is>
          <t>Real Hasta La Muerte/Sony</t>
        </is>
      </c>
      <c r="E73" s="15" t="inlineStr">
        <is>
          <t>Established</t>
        </is>
      </c>
      <c r="F73" s="10" t="n">
        <v>5656136153</v>
      </c>
      <c r="G73" s="9" t="inlineStr">
        <is>
          <t>Kaggle - Most Streamed Spotify Songs 2024</t>
        </is>
      </c>
      <c r="H73" s="11" t="n">
        <v>0.004</v>
      </c>
      <c r="I73" s="12">
        <f>F73*H73</f>
        <v/>
      </c>
      <c r="J73" s="13" t="n">
        <v>0.2</v>
      </c>
      <c r="K73" s="12">
        <f>I73*J73</f>
        <v/>
      </c>
      <c r="L73" s="10">
        <f>ROUND(F73/12,0)</f>
        <v/>
      </c>
      <c r="M73" s="12">
        <f>L73*H73*J73</f>
        <v/>
      </c>
      <c r="N73" s="10">
        <f>ROUND(19488/H73,0)</f>
        <v/>
      </c>
      <c r="O73" s="14">
        <f>IFERROR(ROUND(N73/F73*12,1),"N/A")</f>
        <v/>
      </c>
    </row>
    <row r="74">
      <c r="A74" s="16" t="inlineStr">
        <is>
          <t>Jung Kook</t>
        </is>
      </c>
      <c r="B74" s="16" t="inlineStr">
        <is>
          <t>K-Pop</t>
        </is>
      </c>
      <c r="C74" s="16" t="inlineStr">
        <is>
          <t>Major</t>
        </is>
      </c>
      <c r="D74" s="16" t="inlineStr">
        <is>
          <t>HYBE/Columbia</t>
        </is>
      </c>
      <c r="E74" s="15" t="inlineStr">
        <is>
          <t>Established</t>
        </is>
      </c>
      <c r="F74" s="17" t="n">
        <v>5502390028</v>
      </c>
      <c r="G74" s="16" t="inlineStr">
        <is>
          <t>Kaggle - Most Streamed Spotify Songs 2024</t>
        </is>
      </c>
      <c r="H74" s="18" t="n">
        <v>0.004</v>
      </c>
      <c r="I74" s="19">
        <f>F74*H74</f>
        <v/>
      </c>
      <c r="J74" s="20" t="n">
        <v>0.18</v>
      </c>
      <c r="K74" s="19">
        <f>I74*J74</f>
        <v/>
      </c>
      <c r="L74" s="17">
        <f>ROUND(F74/12,0)</f>
        <v/>
      </c>
      <c r="M74" s="19">
        <f>L74*H74*J74</f>
        <v/>
      </c>
      <c r="N74" s="17">
        <f>ROUND(19488/H74,0)</f>
        <v/>
      </c>
      <c r="O74" s="21">
        <f>IFERROR(ROUND(N74/F74*12,1),"N/A")</f>
        <v/>
      </c>
    </row>
    <row r="75">
      <c r="A75" s="9" t="inlineStr">
        <is>
          <t>Migos</t>
        </is>
      </c>
      <c r="B75" s="9" t="inlineStr">
        <is>
          <t>Hip-Hop</t>
        </is>
      </c>
      <c r="C75" s="9" t="inlineStr">
        <is>
          <t>Major</t>
        </is>
      </c>
      <c r="D75" s="9" t="inlineStr">
        <is>
          <t>Quality Control/Capitol</t>
        </is>
      </c>
      <c r="E75" s="15" t="inlineStr">
        <is>
          <t>Established</t>
        </is>
      </c>
      <c r="F75" s="10" t="n">
        <v>5462323698</v>
      </c>
      <c r="G75" s="9" t="inlineStr">
        <is>
          <t>Kaggle - Most Streamed Spotify Songs 2024</t>
        </is>
      </c>
      <c r="H75" s="11" t="n">
        <v>0.004</v>
      </c>
      <c r="I75" s="12">
        <f>F75*H75</f>
        <v/>
      </c>
      <c r="J75" s="13" t="n">
        <v>0.18</v>
      </c>
      <c r="K75" s="12">
        <f>I75*J75</f>
        <v/>
      </c>
      <c r="L75" s="10">
        <f>ROUND(F75/12,0)</f>
        <v/>
      </c>
      <c r="M75" s="12">
        <f>L75*H75*J75</f>
        <v/>
      </c>
      <c r="N75" s="10">
        <f>ROUND(19488/H75,0)</f>
        <v/>
      </c>
      <c r="O75" s="14">
        <f>IFERROR(ROUND(N75/F75*12,1),"N/A")</f>
        <v/>
      </c>
    </row>
    <row r="76">
      <c r="A76" s="16" t="inlineStr">
        <is>
          <t>Clean Bandit</t>
        </is>
      </c>
      <c r="B76" s="16" t="inlineStr">
        <is>
          <t>Dance/Pop</t>
        </is>
      </c>
      <c r="C76" s="16" t="inlineStr">
        <is>
          <t>Major</t>
        </is>
      </c>
      <c r="D76" s="16" t="inlineStr">
        <is>
          <t>Atlantic Records</t>
        </is>
      </c>
      <c r="E76" s="15" t="inlineStr">
        <is>
          <t>Established</t>
        </is>
      </c>
      <c r="F76" s="17" t="n">
        <v>5354160691</v>
      </c>
      <c r="G76" s="16" t="inlineStr">
        <is>
          <t>Kaggle - Most Streamed Spotify Songs 2024</t>
        </is>
      </c>
      <c r="H76" s="18" t="n">
        <v>0.004</v>
      </c>
      <c r="I76" s="19">
        <f>F76*H76</f>
        <v/>
      </c>
      <c r="J76" s="20" t="n">
        <v>0.2</v>
      </c>
      <c r="K76" s="19">
        <f>I76*J76</f>
        <v/>
      </c>
      <c r="L76" s="17">
        <f>ROUND(F76/12,0)</f>
        <v/>
      </c>
      <c r="M76" s="19">
        <f>L76*H76*J76</f>
        <v/>
      </c>
      <c r="N76" s="17">
        <f>ROUND(19488/H76,0)</f>
        <v/>
      </c>
      <c r="O76" s="21">
        <f>IFERROR(ROUND(N76/F76*12,1),"N/A")</f>
        <v/>
      </c>
    </row>
    <row r="77">
      <c r="A77" s="9" t="inlineStr">
        <is>
          <t>The Neighbourhood</t>
        </is>
      </c>
      <c r="B77" s="9" t="inlineStr">
        <is>
          <t>Alt/Indie Rock</t>
        </is>
      </c>
      <c r="C77" s="9" t="inlineStr">
        <is>
          <t>Major</t>
        </is>
      </c>
      <c r="D77" s="9" t="inlineStr">
        <is>
          <t>Columbia Records</t>
        </is>
      </c>
      <c r="E77" s="15" t="inlineStr">
        <is>
          <t>Established</t>
        </is>
      </c>
      <c r="F77" s="10" t="n">
        <v>5267186573</v>
      </c>
      <c r="G77" s="9" t="inlineStr">
        <is>
          <t>Kaggle - Most Streamed Spotify Songs 2024</t>
        </is>
      </c>
      <c r="H77" s="11" t="n">
        <v>0.004</v>
      </c>
      <c r="I77" s="12">
        <f>F77*H77</f>
        <v/>
      </c>
      <c r="J77" s="13" t="n">
        <v>0.18</v>
      </c>
      <c r="K77" s="12">
        <f>I77*J77</f>
        <v/>
      </c>
      <c r="L77" s="10">
        <f>ROUND(F77/12,0)</f>
        <v/>
      </c>
      <c r="M77" s="12">
        <f>L77*H77*J77</f>
        <v/>
      </c>
      <c r="N77" s="10">
        <f>ROUND(19488/H77,0)</f>
        <v/>
      </c>
      <c r="O77" s="14">
        <f>IFERROR(ROUND(N77/F77*12,1),"N/A")</f>
        <v/>
      </c>
    </row>
    <row r="78">
      <c r="A78" s="16" t="inlineStr">
        <is>
          <t>Danny Ocean</t>
        </is>
      </c>
      <c r="B78" s="16" t="inlineStr">
        <is>
          <t>Pop/R&amp;B</t>
        </is>
      </c>
      <c r="C78" s="16" t="inlineStr">
        <is>
          <t>Independent</t>
        </is>
      </c>
      <c r="D78" s="16" t="inlineStr">
        <is>
          <t>Self-Released</t>
        </is>
      </c>
      <c r="E78" s="15" t="inlineStr">
        <is>
          <t>Established</t>
        </is>
      </c>
      <c r="F78" s="17" t="n">
        <v>5252088165</v>
      </c>
      <c r="G78" s="16" t="inlineStr">
        <is>
          <t>Kaggle - Most Streamed Spotify Songs 2024</t>
        </is>
      </c>
      <c r="H78" s="18" t="n">
        <v>0.004</v>
      </c>
      <c r="I78" s="19">
        <f>F78*H78</f>
        <v/>
      </c>
      <c r="J78" s="20" t="n">
        <v>0.8</v>
      </c>
      <c r="K78" s="19">
        <f>I78*J78</f>
        <v/>
      </c>
      <c r="L78" s="17">
        <f>ROUND(F78/12,0)</f>
        <v/>
      </c>
      <c r="M78" s="19">
        <f>L78*H78*J78</f>
        <v/>
      </c>
      <c r="N78" s="17">
        <f>ROUND(19488/H78,0)</f>
        <v/>
      </c>
      <c r="O78" s="21">
        <f>IFERROR(ROUND(N78/F78*12,1),"N/A")</f>
        <v/>
      </c>
    </row>
    <row r="79">
      <c r="A79" s="9" t="inlineStr">
        <is>
          <t>OneRepublic</t>
        </is>
      </c>
      <c r="B79" s="9" t="inlineStr">
        <is>
          <t>Pop/Rock</t>
        </is>
      </c>
      <c r="C79" s="9" t="inlineStr">
        <is>
          <t>Major</t>
        </is>
      </c>
      <c r="D79" s="9" t="inlineStr">
        <is>
          <t>Interscope Records</t>
        </is>
      </c>
      <c r="E79" s="15" t="inlineStr">
        <is>
          <t>Established</t>
        </is>
      </c>
      <c r="F79" s="10" t="n">
        <v>5229514293</v>
      </c>
      <c r="G79" s="9" t="inlineStr">
        <is>
          <t>Kaggle - Most Streamed Spotify Songs 2024</t>
        </is>
      </c>
      <c r="H79" s="11" t="n">
        <v>0.004</v>
      </c>
      <c r="I79" s="12">
        <f>F79*H79</f>
        <v/>
      </c>
      <c r="J79" s="13" t="n">
        <v>0.18</v>
      </c>
      <c r="K79" s="12">
        <f>I79*J79</f>
        <v/>
      </c>
      <c r="L79" s="10">
        <f>ROUND(F79/12,0)</f>
        <v/>
      </c>
      <c r="M79" s="12">
        <f>L79*H79*J79</f>
        <v/>
      </c>
      <c r="N79" s="10">
        <f>ROUND(19488/H79,0)</f>
        <v/>
      </c>
      <c r="O79" s="14">
        <f>IFERROR(ROUND(N79/F79*12,1),"N/A")</f>
        <v/>
      </c>
    </row>
    <row r="80">
      <c r="A80" s="16" t="inlineStr">
        <is>
          <t>Becky G</t>
        </is>
      </c>
      <c r="B80" s="16" t="inlineStr">
        <is>
          <t>Pop/Latin</t>
        </is>
      </c>
      <c r="C80" s="16" t="inlineStr">
        <is>
          <t>Major</t>
        </is>
      </c>
      <c r="D80" s="16" t="inlineStr">
        <is>
          <t>RCA Records</t>
        </is>
      </c>
      <c r="E80" s="15" t="inlineStr">
        <is>
          <t>Established</t>
        </is>
      </c>
      <c r="F80" s="17" t="n">
        <v>5221968862</v>
      </c>
      <c r="G80" s="16" t="inlineStr">
        <is>
          <t>Kaggle - Most Streamed Spotify Songs 2024</t>
        </is>
      </c>
      <c r="H80" s="18" t="n">
        <v>0.004</v>
      </c>
      <c r="I80" s="19">
        <f>F80*H80</f>
        <v/>
      </c>
      <c r="J80" s="20" t="n">
        <v>0.18</v>
      </c>
      <c r="K80" s="19">
        <f>I80*J80</f>
        <v/>
      </c>
      <c r="L80" s="17">
        <f>ROUND(F80/12,0)</f>
        <v/>
      </c>
      <c r="M80" s="19">
        <f>L80*H80*J80</f>
        <v/>
      </c>
      <c r="N80" s="17">
        <f>ROUND(19488/H80,0)</f>
        <v/>
      </c>
      <c r="O80" s="21">
        <f>IFERROR(ROUND(N80/F80*12,1),"N/A")</f>
        <v/>
      </c>
    </row>
    <row r="81">
      <c r="A81" s="9" t="inlineStr">
        <is>
          <t>Daddy Yankee</t>
        </is>
      </c>
      <c r="B81" s="9" t="inlineStr">
        <is>
          <t>Reggaeton</t>
        </is>
      </c>
      <c r="C81" s="9" t="inlineStr">
        <is>
          <t>Independent</t>
        </is>
      </c>
      <c r="D81" s="9" t="inlineStr">
        <is>
          <t>El Cartel Records</t>
        </is>
      </c>
      <c r="E81" s="15" t="inlineStr">
        <is>
          <t>Established</t>
        </is>
      </c>
      <c r="F81" s="10" t="n">
        <v>5217380526</v>
      </c>
      <c r="G81" s="9" t="inlineStr">
        <is>
          <t>Kaggle - Most Streamed Spotify Songs 2024</t>
        </is>
      </c>
      <c r="H81" s="11" t="n">
        <v>0.004</v>
      </c>
      <c r="I81" s="12">
        <f>F81*H81</f>
        <v/>
      </c>
      <c r="J81" s="13" t="n">
        <v>0.75</v>
      </c>
      <c r="K81" s="12">
        <f>I81*J81</f>
        <v/>
      </c>
      <c r="L81" s="10">
        <f>ROUND(F81/12,0)</f>
        <v/>
      </c>
      <c r="M81" s="12">
        <f>L81*H81*J81</f>
        <v/>
      </c>
      <c r="N81" s="10">
        <f>ROUND(19488/H81,0)</f>
        <v/>
      </c>
      <c r="O81" s="14">
        <f>IFERROR(ROUND(N81/F81*12,1),"N/A")</f>
        <v/>
      </c>
    </row>
    <row r="82">
      <c r="A82" s="16" t="inlineStr">
        <is>
          <t>One Direction</t>
        </is>
      </c>
      <c r="B82" s="16" t="inlineStr">
        <is>
          <t>Pop</t>
        </is>
      </c>
      <c r="C82" s="16" t="inlineStr">
        <is>
          <t>Major</t>
        </is>
      </c>
      <c r="D82" s="16" t="inlineStr">
        <is>
          <t>Syco/Columbia</t>
        </is>
      </c>
      <c r="E82" s="15" t="inlineStr">
        <is>
          <t>Established</t>
        </is>
      </c>
      <c r="F82" s="17" t="n">
        <v>5213919341</v>
      </c>
      <c r="G82" s="16" t="inlineStr">
        <is>
          <t>Kaggle - Most Streamed Spotify Songs 2024</t>
        </is>
      </c>
      <c r="H82" s="18" t="n">
        <v>0.004</v>
      </c>
      <c r="I82" s="19">
        <f>F82*H82</f>
        <v/>
      </c>
      <c r="J82" s="20" t="n">
        <v>0.18</v>
      </c>
      <c r="K82" s="19">
        <f>I82*J82</f>
        <v/>
      </c>
      <c r="L82" s="17">
        <f>ROUND(F82/12,0)</f>
        <v/>
      </c>
      <c r="M82" s="19">
        <f>L82*H82*J82</f>
        <v/>
      </c>
      <c r="N82" s="17">
        <f>ROUND(19488/H82,0)</f>
        <v/>
      </c>
      <c r="O82" s="21">
        <f>IFERROR(ROUND(N82/F82*12,1),"N/A")</f>
        <v/>
      </c>
    </row>
    <row r="83">
      <c r="A83" s="9" t="inlineStr">
        <is>
          <t>Luke Combs</t>
        </is>
      </c>
      <c r="B83" s="9" t="inlineStr">
        <is>
          <t>Country</t>
        </is>
      </c>
      <c r="C83" s="9" t="inlineStr">
        <is>
          <t>Major</t>
        </is>
      </c>
      <c r="D83" s="9" t="inlineStr">
        <is>
          <t>River House/Columbia</t>
        </is>
      </c>
      <c r="E83" s="15" t="inlineStr">
        <is>
          <t>Established</t>
        </is>
      </c>
      <c r="F83" s="10" t="n">
        <v>5165602827</v>
      </c>
      <c r="G83" s="9" t="inlineStr">
        <is>
          <t>Kaggle - Most Streamed Spotify Songs 2024</t>
        </is>
      </c>
      <c r="H83" s="11" t="n">
        <v>0.004</v>
      </c>
      <c r="I83" s="12">
        <f>F83*H83</f>
        <v/>
      </c>
      <c r="J83" s="13" t="n">
        <v>0.2</v>
      </c>
      <c r="K83" s="12">
        <f>I83*J83</f>
        <v/>
      </c>
      <c r="L83" s="10">
        <f>ROUND(F83/12,0)</f>
        <v/>
      </c>
      <c r="M83" s="12">
        <f>L83*H83*J83</f>
        <v/>
      </c>
      <c r="N83" s="10">
        <f>ROUND(19488/H83,0)</f>
        <v/>
      </c>
      <c r="O83" s="14">
        <f>IFERROR(ROUND(N83/F83*12,1),"N/A")</f>
        <v/>
      </c>
    </row>
    <row r="84">
      <c r="A84" s="16" t="inlineStr">
        <is>
          <t>Kygo</t>
        </is>
      </c>
      <c r="B84" s="16" t="inlineStr">
        <is>
          <t>EDM/Tropical</t>
        </is>
      </c>
      <c r="C84" s="16" t="inlineStr">
        <is>
          <t>Major</t>
        </is>
      </c>
      <c r="D84" s="16" t="inlineStr">
        <is>
          <t>Sony Music</t>
        </is>
      </c>
      <c r="E84" s="15" t="inlineStr">
        <is>
          <t>Established</t>
        </is>
      </c>
      <c r="F84" s="17" t="n">
        <v>5154812081</v>
      </c>
      <c r="G84" s="16" t="inlineStr">
        <is>
          <t>Kaggle - Most Streamed Spotify Songs 2024</t>
        </is>
      </c>
      <c r="H84" s="18" t="n">
        <v>0.004</v>
      </c>
      <c r="I84" s="19">
        <f>F84*H84</f>
        <v/>
      </c>
      <c r="J84" s="20" t="n">
        <v>0.2</v>
      </c>
      <c r="K84" s="19">
        <f>I84*J84</f>
        <v/>
      </c>
      <c r="L84" s="17">
        <f>ROUND(F84/12,0)</f>
        <v/>
      </c>
      <c r="M84" s="19">
        <f>L84*H84*J84</f>
        <v/>
      </c>
      <c r="N84" s="17">
        <f>ROUND(19488/H84,0)</f>
        <v/>
      </c>
      <c r="O84" s="21">
        <f>IFERROR(ROUND(N84/F84*12,1),"N/A")</f>
        <v/>
      </c>
    </row>
    <row r="85">
      <c r="A85" s="9" t="inlineStr">
        <is>
          <t>James Arthur</t>
        </is>
      </c>
      <c r="B85" s="9" t="inlineStr">
        <is>
          <t>Pop/Soul</t>
        </is>
      </c>
      <c r="C85" s="9" t="inlineStr">
        <is>
          <t>Major</t>
        </is>
      </c>
      <c r="D85" s="9" t="inlineStr">
        <is>
          <t>Columbia Records</t>
        </is>
      </c>
      <c r="E85" s="15" t="inlineStr">
        <is>
          <t>Established</t>
        </is>
      </c>
      <c r="F85" s="10" t="n">
        <v>5066985689</v>
      </c>
      <c r="G85" s="9" t="inlineStr">
        <is>
          <t>Kaggle - Most Streamed Spotify Songs 2024</t>
        </is>
      </c>
      <c r="H85" s="11" t="n">
        <v>0.004</v>
      </c>
      <c r="I85" s="12">
        <f>F85*H85</f>
        <v/>
      </c>
      <c r="J85" s="13" t="n">
        <v>0.18</v>
      </c>
      <c r="K85" s="12">
        <f>I85*J85</f>
        <v/>
      </c>
      <c r="L85" s="10">
        <f>ROUND(F85/12,0)</f>
        <v/>
      </c>
      <c r="M85" s="12">
        <f>L85*H85*J85</f>
        <v/>
      </c>
      <c r="N85" s="10">
        <f>ROUND(19488/H85,0)</f>
        <v/>
      </c>
      <c r="O85" s="14">
        <f>IFERROR(ROUND(N85/F85*12,1),"N/A")</f>
        <v/>
      </c>
    </row>
    <row r="86">
      <c r="A86" s="16" t="inlineStr">
        <is>
          <t>Coolio</t>
        </is>
      </c>
      <c r="B86" s="16" t="inlineStr">
        <is>
          <t>Hip-Hop</t>
        </is>
      </c>
      <c r="C86" s="16" t="inlineStr">
        <is>
          <t>Major</t>
        </is>
      </c>
      <c r="D86" s="16" t="inlineStr">
        <is>
          <t>Tommy Boy Records</t>
        </is>
      </c>
      <c r="E86" s="15" t="inlineStr">
        <is>
          <t>Established</t>
        </is>
      </c>
      <c r="F86" s="17" t="n">
        <v>5009149581</v>
      </c>
      <c r="G86" s="16" t="inlineStr">
        <is>
          <t>Kaggle - Most Streamed Spotify Songs 2024</t>
        </is>
      </c>
      <c r="H86" s="18" t="n">
        <v>0.004</v>
      </c>
      <c r="I86" s="19">
        <f>F86*H86</f>
        <v/>
      </c>
      <c r="J86" s="20" t="n">
        <v>0.18</v>
      </c>
      <c r="K86" s="19">
        <f>I86*J86</f>
        <v/>
      </c>
      <c r="L86" s="17">
        <f>ROUND(F86/12,0)</f>
        <v/>
      </c>
      <c r="M86" s="19">
        <f>L86*H86*J86</f>
        <v/>
      </c>
      <c r="N86" s="17">
        <f>ROUND(19488/H86,0)</f>
        <v/>
      </c>
      <c r="O86" s="21">
        <f>IFERROR(ROUND(N86/F86*12,1),"N/A")</f>
        <v/>
      </c>
    </row>
    <row r="87">
      <c r="A87" s="9" t="inlineStr">
        <is>
          <t>Selena Gomez</t>
        </is>
      </c>
      <c r="B87" s="9" t="inlineStr">
        <is>
          <t>Pop</t>
        </is>
      </c>
      <c r="C87" s="9" t="inlineStr">
        <is>
          <t>Major</t>
        </is>
      </c>
      <c r="D87" s="9" t="inlineStr">
        <is>
          <t>Interscope Records</t>
        </is>
      </c>
      <c r="E87" s="15" t="inlineStr">
        <is>
          <t>Established</t>
        </is>
      </c>
      <c r="F87" s="10" t="n">
        <v>4975082682</v>
      </c>
      <c r="G87" s="9" t="inlineStr">
        <is>
          <t>Kaggle - Most Streamed Spotify Songs 2024</t>
        </is>
      </c>
      <c r="H87" s="11" t="n">
        <v>0.004</v>
      </c>
      <c r="I87" s="12">
        <f>F87*H87</f>
        <v/>
      </c>
      <c r="J87" s="13" t="n">
        <v>0.18</v>
      </c>
      <c r="K87" s="12">
        <f>I87*J87</f>
        <v/>
      </c>
      <c r="L87" s="10">
        <f>ROUND(F87/12,0)</f>
        <v/>
      </c>
      <c r="M87" s="12">
        <f>L87*H87*J87</f>
        <v/>
      </c>
      <c r="N87" s="10">
        <f>ROUND(19488/H87,0)</f>
        <v/>
      </c>
      <c r="O87" s="14">
        <f>IFERROR(ROUND(N87/F87*12,1),"N/A")</f>
        <v/>
      </c>
    </row>
    <row r="88">
      <c r="A88" s="16" t="inlineStr">
        <is>
          <t>LOVE BGM JPN</t>
        </is>
      </c>
      <c r="B88" s="16" t="inlineStr">
        <is>
          <t>Lo-Fi/Ambient</t>
        </is>
      </c>
      <c r="C88" s="16" t="inlineStr">
        <is>
          <t>Independent</t>
        </is>
      </c>
      <c r="D88" s="16" t="inlineStr">
        <is>
          <t>Self-Released</t>
        </is>
      </c>
      <c r="E88" s="15" t="inlineStr">
        <is>
          <t>Established</t>
        </is>
      </c>
      <c r="F88" s="17" t="n">
        <v>4916096275</v>
      </c>
      <c r="G88" s="16" t="inlineStr">
        <is>
          <t>Kaggle - Most Streamed Spotify Songs 2024</t>
        </is>
      </c>
      <c r="H88" s="18" t="n">
        <v>0.004</v>
      </c>
      <c r="I88" s="19">
        <f>F88*H88</f>
        <v/>
      </c>
      <c r="J88" s="20" t="n">
        <v>0.85</v>
      </c>
      <c r="K88" s="19">
        <f>I88*J88</f>
        <v/>
      </c>
      <c r="L88" s="17">
        <f>ROUND(F88/12,0)</f>
        <v/>
      </c>
      <c r="M88" s="19">
        <f>L88*H88*J88</f>
        <v/>
      </c>
      <c r="N88" s="17">
        <f>ROUND(19488/H88,0)</f>
        <v/>
      </c>
      <c r="O88" s="21">
        <f>IFERROR(ROUND(N88/F88*12,1),"N/A")</f>
        <v/>
      </c>
    </row>
    <row r="89">
      <c r="A89" s="9" t="inlineStr">
        <is>
          <t>Wiz Khalifa</t>
        </is>
      </c>
      <c r="B89" s="9" t="inlineStr">
        <is>
          <t>Hip-Hop</t>
        </is>
      </c>
      <c r="C89" s="9" t="inlineStr">
        <is>
          <t>Major</t>
        </is>
      </c>
      <c r="D89" s="9" t="inlineStr">
        <is>
          <t>Atlantic Records</t>
        </is>
      </c>
      <c r="E89" s="15" t="inlineStr">
        <is>
          <t>Established</t>
        </is>
      </c>
      <c r="F89" s="10" t="n">
        <v>4783584003</v>
      </c>
      <c r="G89" s="9" t="inlineStr">
        <is>
          <t>Kaggle - Most Streamed Spotify Songs 2024</t>
        </is>
      </c>
      <c r="H89" s="11" t="n">
        <v>0.004</v>
      </c>
      <c r="I89" s="12">
        <f>F89*H89</f>
        <v/>
      </c>
      <c r="J89" s="13" t="n">
        <v>0.18</v>
      </c>
      <c r="K89" s="12">
        <f>I89*J89</f>
        <v/>
      </c>
      <c r="L89" s="10">
        <f>ROUND(F89/12,0)</f>
        <v/>
      </c>
      <c r="M89" s="12">
        <f>L89*H89*J89</f>
        <v/>
      </c>
      <c r="N89" s="10">
        <f>ROUND(19488/H89,0)</f>
        <v/>
      </c>
      <c r="O89" s="14">
        <f>IFERROR(ROUND(N89/F89*12,1),"N/A")</f>
        <v/>
      </c>
    </row>
    <row r="90">
      <c r="A90" s="16" t="inlineStr">
        <is>
          <t>Nicki Minaj</t>
        </is>
      </c>
      <c r="B90" s="16" t="inlineStr">
        <is>
          <t>Hip-Hop</t>
        </is>
      </c>
      <c r="C90" s="16" t="inlineStr">
        <is>
          <t>Major</t>
        </is>
      </c>
      <c r="D90" s="16" t="inlineStr">
        <is>
          <t>Young Money/Cash Money</t>
        </is>
      </c>
      <c r="E90" s="15" t="inlineStr">
        <is>
          <t>Established</t>
        </is>
      </c>
      <c r="F90" s="17" t="n">
        <v>4775085257</v>
      </c>
      <c r="G90" s="16" t="inlineStr">
        <is>
          <t>Kaggle - Most Streamed Spotify Songs 2024</t>
        </is>
      </c>
      <c r="H90" s="18" t="n">
        <v>0.004</v>
      </c>
      <c r="I90" s="19">
        <f>F90*H90</f>
        <v/>
      </c>
      <c r="J90" s="20" t="n">
        <v>0.2</v>
      </c>
      <c r="K90" s="19">
        <f>I90*J90</f>
        <v/>
      </c>
      <c r="L90" s="17">
        <f>ROUND(F90/12,0)</f>
        <v/>
      </c>
      <c r="M90" s="19">
        <f>L90*H90*J90</f>
        <v/>
      </c>
      <c r="N90" s="17">
        <f>ROUND(19488/H90,0)</f>
        <v/>
      </c>
      <c r="O90" s="21">
        <f>IFERROR(ROUND(N90/F90*12,1),"N/A")</f>
        <v/>
      </c>
    </row>
    <row r="91">
      <c r="A91" s="9" t="inlineStr">
        <is>
          <t>John Legend</t>
        </is>
      </c>
      <c r="B91" s="9" t="inlineStr">
        <is>
          <t>R&amp;B/Soul</t>
        </is>
      </c>
      <c r="C91" s="9" t="inlineStr">
        <is>
          <t>Major</t>
        </is>
      </c>
      <c r="D91" s="9" t="inlineStr">
        <is>
          <t>Columbia Records</t>
        </is>
      </c>
      <c r="E91" s="15" t="inlineStr">
        <is>
          <t>Established</t>
        </is>
      </c>
      <c r="F91" s="10" t="n">
        <v>4762194264</v>
      </c>
      <c r="G91" s="9" t="inlineStr">
        <is>
          <t>Kaggle - Most Streamed Spotify Songs 2024</t>
        </is>
      </c>
      <c r="H91" s="11" t="n">
        <v>0.004</v>
      </c>
      <c r="I91" s="12">
        <f>F91*H91</f>
        <v/>
      </c>
      <c r="J91" s="13" t="n">
        <v>0.2</v>
      </c>
      <c r="K91" s="12">
        <f>I91*J91</f>
        <v/>
      </c>
      <c r="L91" s="10">
        <f>ROUND(F91/12,0)</f>
        <v/>
      </c>
      <c r="M91" s="12">
        <f>L91*H91*J91</f>
        <v/>
      </c>
      <c r="N91" s="10">
        <f>ROUND(19488/H91,0)</f>
        <v/>
      </c>
      <c r="O91" s="14">
        <f>IFERROR(ROUND(N91/F91*12,1),"N/A")</f>
        <v/>
      </c>
    </row>
    <row r="92">
      <c r="A92" s="16" t="inlineStr">
        <is>
          <t>Myke Towers</t>
        </is>
      </c>
      <c r="B92" s="16" t="inlineStr">
        <is>
          <t>Reggaeton</t>
        </is>
      </c>
      <c r="C92" s="16" t="inlineStr">
        <is>
          <t>Major</t>
        </is>
      </c>
      <c r="D92" s="16" t="inlineStr">
        <is>
          <t>Rimas Entertainment</t>
        </is>
      </c>
      <c r="E92" s="15" t="inlineStr">
        <is>
          <t>Established</t>
        </is>
      </c>
      <c r="F92" s="17" t="n">
        <v>4682650774</v>
      </c>
      <c r="G92" s="16" t="inlineStr">
        <is>
          <t>Kaggle - Most Streamed Spotify Songs 2024</t>
        </is>
      </c>
      <c r="H92" s="18" t="n">
        <v>0.004</v>
      </c>
      <c r="I92" s="19">
        <f>F92*H92</f>
        <v/>
      </c>
      <c r="J92" s="20" t="n">
        <v>0.18</v>
      </c>
      <c r="K92" s="19">
        <f>I92*J92</f>
        <v/>
      </c>
      <c r="L92" s="17">
        <f>ROUND(F92/12,0)</f>
        <v/>
      </c>
      <c r="M92" s="19">
        <f>L92*H92*J92</f>
        <v/>
      </c>
      <c r="N92" s="17">
        <f>ROUND(19488/H92,0)</f>
        <v/>
      </c>
      <c r="O92" s="21">
        <f>IFERROR(ROUND(N92/F92*12,1),"N/A")</f>
        <v/>
      </c>
    </row>
    <row r="93">
      <c r="A93" s="9" t="inlineStr">
        <is>
          <t>ZAYN</t>
        </is>
      </c>
      <c r="B93" s="9" t="inlineStr">
        <is>
          <t>Pop/R&amp;B</t>
        </is>
      </c>
      <c r="C93" s="9" t="inlineStr">
        <is>
          <t>Major</t>
        </is>
      </c>
      <c r="D93" s="9" t="inlineStr">
        <is>
          <t>RCA Records</t>
        </is>
      </c>
      <c r="E93" s="15" t="inlineStr">
        <is>
          <t>Established</t>
        </is>
      </c>
      <c r="F93" s="10" t="n">
        <v>4677839296</v>
      </c>
      <c r="G93" s="9" t="inlineStr">
        <is>
          <t>Kaggle - Most Streamed Spotify Songs 2024</t>
        </is>
      </c>
      <c r="H93" s="11" t="n">
        <v>0.004</v>
      </c>
      <c r="I93" s="12">
        <f>F93*H93</f>
        <v/>
      </c>
      <c r="J93" s="13" t="n">
        <v>0.18</v>
      </c>
      <c r="K93" s="12">
        <f>I93*J93</f>
        <v/>
      </c>
      <c r="L93" s="10">
        <f>ROUND(F93/12,0)</f>
        <v/>
      </c>
      <c r="M93" s="12">
        <f>L93*H93*J93</f>
        <v/>
      </c>
      <c r="N93" s="10">
        <f>ROUND(19488/H93,0)</f>
        <v/>
      </c>
      <c r="O93" s="14">
        <f>IFERROR(ROUND(N93/F93*12,1),"N/A")</f>
        <v/>
      </c>
    </row>
    <row r="94">
      <c r="A94" s="16" t="inlineStr">
        <is>
          <t>Jack Harlow</t>
        </is>
      </c>
      <c r="B94" s="16" t="inlineStr">
        <is>
          <t>Hip-Hop</t>
        </is>
      </c>
      <c r="C94" s="16" t="inlineStr">
        <is>
          <t>Major</t>
        </is>
      </c>
      <c r="D94" s="16" t="inlineStr">
        <is>
          <t>Generation Now/Atlantic</t>
        </is>
      </c>
      <c r="E94" s="15" t="inlineStr">
        <is>
          <t>Established</t>
        </is>
      </c>
      <c r="F94" s="17" t="n">
        <v>4654631127</v>
      </c>
      <c r="G94" s="16" t="inlineStr">
        <is>
          <t>Kaggle - Most Streamed Spotify Songs 2024</t>
        </is>
      </c>
      <c r="H94" s="18" t="n">
        <v>0.004</v>
      </c>
      <c r="I94" s="19">
        <f>F94*H94</f>
        <v/>
      </c>
      <c r="J94" s="20" t="n">
        <v>0.18</v>
      </c>
      <c r="K94" s="19">
        <f>I94*J94</f>
        <v/>
      </c>
      <c r="L94" s="17">
        <f>ROUND(F94/12,0)</f>
        <v/>
      </c>
      <c r="M94" s="19">
        <f>L94*H94*J94</f>
        <v/>
      </c>
      <c r="N94" s="17">
        <f>ROUND(19488/H94,0)</f>
        <v/>
      </c>
      <c r="O94" s="21">
        <f>IFERROR(ROUND(N94/F94*12,1),"N/A")</f>
        <v/>
      </c>
    </row>
    <row r="95">
      <c r="A95" s="9" t="inlineStr">
        <is>
          <t>Ava Max</t>
        </is>
      </c>
      <c r="B95" s="9" t="inlineStr">
        <is>
          <t>Pop</t>
        </is>
      </c>
      <c r="C95" s="9" t="inlineStr">
        <is>
          <t>Major</t>
        </is>
      </c>
      <c r="D95" s="9" t="inlineStr">
        <is>
          <t>Atlantic Records</t>
        </is>
      </c>
      <c r="E95" s="15" t="inlineStr">
        <is>
          <t>Established</t>
        </is>
      </c>
      <c r="F95" s="10" t="n">
        <v>4627887833</v>
      </c>
      <c r="G95" s="9" t="inlineStr">
        <is>
          <t>Kaggle - Most Streamed Spotify Songs 2024</t>
        </is>
      </c>
      <c r="H95" s="11" t="n">
        <v>0.004</v>
      </c>
      <c r="I95" s="12">
        <f>F95*H95</f>
        <v/>
      </c>
      <c r="J95" s="13" t="n">
        <v>0.18</v>
      </c>
      <c r="K95" s="12">
        <f>I95*J95</f>
        <v/>
      </c>
      <c r="L95" s="10">
        <f>ROUND(F95/12,0)</f>
        <v/>
      </c>
      <c r="M95" s="12">
        <f>L95*H95*J95</f>
        <v/>
      </c>
      <c r="N95" s="10">
        <f>ROUND(19488/H95,0)</f>
        <v/>
      </c>
      <c r="O95" s="14">
        <f>IFERROR(ROUND(N95/F95*12,1),"N/A")</f>
        <v/>
      </c>
    </row>
    <row r="96">
      <c r="A96" s="16" t="inlineStr">
        <is>
          <t>Pitbull</t>
        </is>
      </c>
      <c r="B96" s="16" t="inlineStr">
        <is>
          <t>Pop/Latin</t>
        </is>
      </c>
      <c r="C96" s="16" t="inlineStr">
        <is>
          <t>Major</t>
        </is>
      </c>
      <c r="D96" s="16" t="inlineStr">
        <is>
          <t>Mr. 305/RCA</t>
        </is>
      </c>
      <c r="E96" s="15" t="inlineStr">
        <is>
          <t>Established</t>
        </is>
      </c>
      <c r="F96" s="17" t="n">
        <v>4612213343</v>
      </c>
      <c r="G96" s="16" t="inlineStr">
        <is>
          <t>Kaggle - Most Streamed Spotify Songs 2024</t>
        </is>
      </c>
      <c r="H96" s="18" t="n">
        <v>0.004</v>
      </c>
      <c r="I96" s="19">
        <f>F96*H96</f>
        <v/>
      </c>
      <c r="J96" s="20" t="n">
        <v>0.2</v>
      </c>
      <c r="K96" s="19">
        <f>I96*J96</f>
        <v/>
      </c>
      <c r="L96" s="17">
        <f>ROUND(F96/12,0)</f>
        <v/>
      </c>
      <c r="M96" s="19">
        <f>L96*H96*J96</f>
        <v/>
      </c>
      <c r="N96" s="17">
        <f>ROUND(19488/H96,0)</f>
        <v/>
      </c>
      <c r="O96" s="21">
        <f>IFERROR(ROUND(N96/F96*12,1),"N/A")</f>
        <v/>
      </c>
    </row>
    <row r="97">
      <c r="A97" s="9" t="inlineStr">
        <is>
          <t>Ellie Goulding</t>
        </is>
      </c>
      <c r="B97" s="9" t="inlineStr">
        <is>
          <t>Pop/Dance</t>
        </is>
      </c>
      <c r="C97" s="9" t="inlineStr">
        <is>
          <t>Major</t>
        </is>
      </c>
      <c r="D97" s="9" t="inlineStr">
        <is>
          <t>Polydor/Republic</t>
        </is>
      </c>
      <c r="E97" s="15" t="inlineStr">
        <is>
          <t>Established</t>
        </is>
      </c>
      <c r="F97" s="10" t="n">
        <v>4606615695</v>
      </c>
      <c r="G97" s="9" t="inlineStr">
        <is>
          <t>Kaggle - Most Streamed Spotify Songs 2024</t>
        </is>
      </c>
      <c r="H97" s="11" t="n">
        <v>0.004</v>
      </c>
      <c r="I97" s="12">
        <f>F97*H97</f>
        <v/>
      </c>
      <c r="J97" s="13" t="n">
        <v>0.18</v>
      </c>
      <c r="K97" s="12">
        <f>I97*J97</f>
        <v/>
      </c>
      <c r="L97" s="10">
        <f>ROUND(F97/12,0)</f>
        <v/>
      </c>
      <c r="M97" s="12">
        <f>L97*H97*J97</f>
        <v/>
      </c>
      <c r="N97" s="10">
        <f>ROUND(19488/H97,0)</f>
        <v/>
      </c>
      <c r="O97" s="14">
        <f>IFERROR(ROUND(N97/F97*12,1),"N/A")</f>
        <v/>
      </c>
    </row>
    <row r="98">
      <c r="A98" s="16" t="inlineStr">
        <is>
          <t>Passenger</t>
        </is>
      </c>
      <c r="B98" s="16" t="inlineStr">
        <is>
          <t>Folk/Singer-Songwriter</t>
        </is>
      </c>
      <c r="C98" s="16" t="inlineStr">
        <is>
          <t>Independent</t>
        </is>
      </c>
      <c r="D98" s="16" t="inlineStr">
        <is>
          <t>Black Crow Records</t>
        </is>
      </c>
      <c r="E98" s="15" t="inlineStr">
        <is>
          <t>Established</t>
        </is>
      </c>
      <c r="F98" s="17" t="n">
        <v>4505427094</v>
      </c>
      <c r="G98" s="16" t="inlineStr">
        <is>
          <t>Kaggle - Most Streamed Spotify Songs 2024</t>
        </is>
      </c>
      <c r="H98" s="18" t="n">
        <v>0.004</v>
      </c>
      <c r="I98" s="19">
        <f>F98*H98</f>
        <v/>
      </c>
      <c r="J98" s="20" t="n">
        <v>0.7</v>
      </c>
      <c r="K98" s="19">
        <f>I98*J98</f>
        <v/>
      </c>
      <c r="L98" s="17">
        <f>ROUND(F98/12,0)</f>
        <v/>
      </c>
      <c r="M98" s="19">
        <f>L98*H98*J98</f>
        <v/>
      </c>
      <c r="N98" s="17">
        <f>ROUND(19488/H98,0)</f>
        <v/>
      </c>
      <c r="O98" s="21">
        <f>IFERROR(ROUND(N98/F98*12,1),"N/A")</f>
        <v/>
      </c>
    </row>
    <row r="99">
      <c r="A99" s="9" t="inlineStr">
        <is>
          <t>Sebastian Yatra</t>
        </is>
      </c>
      <c r="B99" s="9" t="inlineStr">
        <is>
          <t>Pop/Latin</t>
        </is>
      </c>
      <c r="C99" s="9" t="inlineStr">
        <is>
          <t>Major</t>
        </is>
      </c>
      <c r="D99" s="9" t="inlineStr">
        <is>
          <t>Universal Music Latin</t>
        </is>
      </c>
      <c r="E99" s="15" t="inlineStr">
        <is>
          <t>Established</t>
        </is>
      </c>
      <c r="F99" s="10" t="n">
        <v>4493782563</v>
      </c>
      <c r="G99" s="9" t="inlineStr">
        <is>
          <t>Kaggle - Most Streamed Spotify Songs 2024</t>
        </is>
      </c>
      <c r="H99" s="11" t="n">
        <v>0.004</v>
      </c>
      <c r="I99" s="12">
        <f>F99*H99</f>
        <v/>
      </c>
      <c r="J99" s="13" t="n">
        <v>0.18</v>
      </c>
      <c r="K99" s="12">
        <f>I99*J99</f>
        <v/>
      </c>
      <c r="L99" s="10">
        <f>ROUND(F99/12,0)</f>
        <v/>
      </c>
      <c r="M99" s="12">
        <f>L99*H99*J99</f>
        <v/>
      </c>
      <c r="N99" s="10">
        <f>ROUND(19488/H99,0)</f>
        <v/>
      </c>
      <c r="O99" s="14">
        <f>IFERROR(ROUND(N99/F99*12,1),"N/A")</f>
        <v/>
      </c>
    </row>
    <row r="100">
      <c r="A100" s="22" t="inlineStr">
        <is>
          <t>Arlo Parks</t>
        </is>
      </c>
      <c r="B100" s="22" t="inlineStr">
        <is>
          <t>Indie Pop/Soul</t>
        </is>
      </c>
      <c r="C100" s="22" t="inlineStr">
        <is>
          <t>Independent</t>
        </is>
      </c>
      <c r="D100" s="22" t="inlineStr">
        <is>
          <t>Transgressive Records</t>
        </is>
      </c>
      <c r="E100" s="23" t="inlineStr">
        <is>
          <t>Rising</t>
        </is>
      </c>
      <c r="F100" s="24" t="n">
        <v>14400000</v>
      </c>
      <c r="G100" s="22" t="inlineStr">
        <is>
          <t>Estimated - representative of emerging artist tier</t>
        </is>
      </c>
      <c r="H100" s="25" t="n">
        <v>0.004</v>
      </c>
      <c r="I100" s="26">
        <f>F100*H100</f>
        <v/>
      </c>
      <c r="J100" s="27" t="n">
        <v>0.65</v>
      </c>
      <c r="K100" s="26">
        <f>I100*J100</f>
        <v/>
      </c>
      <c r="L100" s="24">
        <f>ROUND(F100/12,0)</f>
        <v/>
      </c>
      <c r="M100" s="26">
        <f>L100*H100*J100</f>
        <v/>
      </c>
      <c r="N100" s="24">
        <f>ROUND(19488/H100,0)</f>
        <v/>
      </c>
      <c r="O100" s="28">
        <f>IFERROR(ROUND(N100/F100*12,1),"N/A")</f>
        <v/>
      </c>
    </row>
    <row r="101">
      <c r="A101" s="9" t="inlineStr">
        <is>
          <t>Snail Mail</t>
        </is>
      </c>
      <c r="B101" s="9" t="inlineStr">
        <is>
          <t>Indie Rock</t>
        </is>
      </c>
      <c r="C101" s="9" t="inlineStr">
        <is>
          <t>Independent</t>
        </is>
      </c>
      <c r="D101" s="9" t="inlineStr">
        <is>
          <t>Matador Records</t>
        </is>
      </c>
      <c r="E101" s="23" t="inlineStr">
        <is>
          <t>Rising</t>
        </is>
      </c>
      <c r="F101" s="10" t="n">
        <v>10200000</v>
      </c>
      <c r="G101" s="9" t="inlineStr">
        <is>
          <t>Estimated - representative of emerging artist tier</t>
        </is>
      </c>
      <c r="H101" s="11" t="n">
        <v>0.004</v>
      </c>
      <c r="I101" s="12">
        <f>F101*H101</f>
        <v/>
      </c>
      <c r="J101" s="13" t="n">
        <v>0.65</v>
      </c>
      <c r="K101" s="12">
        <f>I101*J101</f>
        <v/>
      </c>
      <c r="L101" s="10">
        <f>ROUND(F101/12,0)</f>
        <v/>
      </c>
      <c r="M101" s="12">
        <f>L101*H101*J101</f>
        <v/>
      </c>
      <c r="N101" s="10">
        <f>ROUND(19488/H101,0)</f>
        <v/>
      </c>
      <c r="O101" s="14">
        <f>IFERROR(ROUND(N101/F101*12,1),"N/A")</f>
        <v/>
      </c>
    </row>
    <row r="102">
      <c r="A102" s="29" t="inlineStr">
        <is>
          <t>Men I Trust</t>
        </is>
      </c>
      <c r="B102" s="29" t="inlineStr">
        <is>
          <t>Dream Pop</t>
        </is>
      </c>
      <c r="C102" s="29" t="inlineStr">
        <is>
          <t>Independent</t>
        </is>
      </c>
      <c r="D102" s="29" t="inlineStr">
        <is>
          <t>Self-Released</t>
        </is>
      </c>
      <c r="E102" s="30" t="inlineStr">
        <is>
          <t>Emerging</t>
        </is>
      </c>
      <c r="F102" s="31" t="n">
        <v>7440000</v>
      </c>
      <c r="G102" s="29" t="inlineStr">
        <is>
          <t>Estimated - representative of emerging artist tier</t>
        </is>
      </c>
      <c r="H102" s="32" t="n">
        <v>0.004</v>
      </c>
      <c r="I102" s="33">
        <f>F102*H102</f>
        <v/>
      </c>
      <c r="J102" s="34" t="n">
        <v>0.85</v>
      </c>
      <c r="K102" s="33">
        <f>I102*J102</f>
        <v/>
      </c>
      <c r="L102" s="31">
        <f>ROUND(F102/12,0)</f>
        <v/>
      </c>
      <c r="M102" s="33">
        <f>L102*H102*J102</f>
        <v/>
      </c>
      <c r="N102" s="31">
        <f>ROUND(19488/H102,0)</f>
        <v/>
      </c>
      <c r="O102" s="35">
        <f>IFERROR(ROUND(N102/F102*12,1),"N/A")</f>
        <v/>
      </c>
    </row>
    <row r="103">
      <c r="A103" s="9" t="inlineStr">
        <is>
          <t>Yeule</t>
        </is>
      </c>
      <c r="B103" s="9" t="inlineStr">
        <is>
          <t>Shoegaze/Experimental</t>
        </is>
      </c>
      <c r="C103" s="9" t="inlineStr">
        <is>
          <t>Independent</t>
        </is>
      </c>
      <c r="D103" s="9" t="inlineStr">
        <is>
          <t>Lotus Eater Records</t>
        </is>
      </c>
      <c r="E103" s="30" t="inlineStr">
        <is>
          <t>Emerging</t>
        </is>
      </c>
      <c r="F103" s="10" t="n">
        <v>3360000</v>
      </c>
      <c r="G103" s="9" t="inlineStr">
        <is>
          <t>Estimated - representative of emerging artist tier</t>
        </is>
      </c>
      <c r="H103" s="11" t="n">
        <v>0.004</v>
      </c>
      <c r="I103" s="12">
        <f>F103*H103</f>
        <v/>
      </c>
      <c r="J103" s="13" t="n">
        <v>0.7</v>
      </c>
      <c r="K103" s="12">
        <f>I103*J103</f>
        <v/>
      </c>
      <c r="L103" s="10">
        <f>ROUND(F103/12,0)</f>
        <v/>
      </c>
      <c r="M103" s="12">
        <f>L103*H103*J103</f>
        <v/>
      </c>
      <c r="N103" s="10">
        <f>ROUND(19488/H103,0)</f>
        <v/>
      </c>
      <c r="O103" s="14">
        <f>IFERROR(ROUND(N103/F103*12,1),"N/A")</f>
        <v/>
      </c>
    </row>
    <row r="104">
      <c r="A104" s="22" t="inlineStr">
        <is>
          <t>Phoebe Bridgers</t>
        </is>
      </c>
      <c r="B104" s="22" t="inlineStr">
        <is>
          <t>Indie Folk</t>
        </is>
      </c>
      <c r="C104" s="22" t="inlineStr">
        <is>
          <t>Independent</t>
        </is>
      </c>
      <c r="D104" s="22" t="inlineStr">
        <is>
          <t>Dead Oceans</t>
        </is>
      </c>
      <c r="E104" s="23" t="inlineStr">
        <is>
          <t>Rising</t>
        </is>
      </c>
      <c r="F104" s="24" t="n">
        <v>37200000</v>
      </c>
      <c r="G104" s="22" t="inlineStr">
        <is>
          <t>Estimated - representative of emerging artist tier</t>
        </is>
      </c>
      <c r="H104" s="25" t="n">
        <v>0.004</v>
      </c>
      <c r="I104" s="26">
        <f>F104*H104</f>
        <v/>
      </c>
      <c r="J104" s="27" t="n">
        <v>0.65</v>
      </c>
      <c r="K104" s="26">
        <f>I104*J104</f>
        <v/>
      </c>
      <c r="L104" s="24">
        <f>ROUND(F104/12,0)</f>
        <v/>
      </c>
      <c r="M104" s="26">
        <f>L104*H104*J104</f>
        <v/>
      </c>
      <c r="N104" s="24">
        <f>ROUND(19488/H104,0)</f>
        <v/>
      </c>
      <c r="O104" s="28">
        <f>IFERROR(ROUND(N104/F104*12,1),"N/A")</f>
        <v/>
      </c>
    </row>
    <row r="105">
      <c r="A105" s="9" t="inlineStr">
        <is>
          <t>Wednesday</t>
        </is>
      </c>
      <c r="B105" s="9" t="inlineStr">
        <is>
          <t>Alt Country/Rock</t>
        </is>
      </c>
      <c r="C105" s="9" t="inlineStr">
        <is>
          <t>Independent</t>
        </is>
      </c>
      <c r="D105" s="9" t="inlineStr">
        <is>
          <t>Dead Oceans</t>
        </is>
      </c>
      <c r="E105" s="30" t="inlineStr">
        <is>
          <t>Emerging</t>
        </is>
      </c>
      <c r="F105" s="10" t="n">
        <v>2280000</v>
      </c>
      <c r="G105" s="9" t="inlineStr">
        <is>
          <t>Estimated - representative of emerging artist tier</t>
        </is>
      </c>
      <c r="H105" s="11" t="n">
        <v>0.004</v>
      </c>
      <c r="I105" s="12">
        <f>F105*H105</f>
        <v/>
      </c>
      <c r="J105" s="13" t="n">
        <v>0.65</v>
      </c>
      <c r="K105" s="12">
        <f>I105*J105</f>
        <v/>
      </c>
      <c r="L105" s="10">
        <f>ROUND(F105/12,0)</f>
        <v/>
      </c>
      <c r="M105" s="12">
        <f>L105*H105*J105</f>
        <v/>
      </c>
      <c r="N105" s="10">
        <f>ROUND(19488/H105,0)</f>
        <v/>
      </c>
      <c r="O105" s="14">
        <f>IFERROR(ROUND(N105/F105*12,1),"N/A")</f>
        <v/>
      </c>
    </row>
    <row r="106">
      <c r="A106" s="29" t="inlineStr">
        <is>
          <t>Slayyyter</t>
        </is>
      </c>
      <c r="B106" s="29" t="inlineStr">
        <is>
          <t>Hyperpop/Dance</t>
        </is>
      </c>
      <c r="C106" s="29" t="inlineStr">
        <is>
          <t>Independent</t>
        </is>
      </c>
      <c r="D106" s="29" t="inlineStr">
        <is>
          <t>Self-Released</t>
        </is>
      </c>
      <c r="E106" s="30" t="inlineStr">
        <is>
          <t>Emerging</t>
        </is>
      </c>
      <c r="F106" s="31" t="n">
        <v>4920000</v>
      </c>
      <c r="G106" s="29" t="inlineStr">
        <is>
          <t>Estimated - representative of emerging artist tier</t>
        </is>
      </c>
      <c r="H106" s="32" t="n">
        <v>0.004</v>
      </c>
      <c r="I106" s="33">
        <f>F106*H106</f>
        <v/>
      </c>
      <c r="J106" s="34" t="n">
        <v>0.85</v>
      </c>
      <c r="K106" s="33">
        <f>I106*J106</f>
        <v/>
      </c>
      <c r="L106" s="31">
        <f>ROUND(F106/12,0)</f>
        <v/>
      </c>
      <c r="M106" s="33">
        <f>L106*H106*J106</f>
        <v/>
      </c>
      <c r="N106" s="31">
        <f>ROUND(19488/H106,0)</f>
        <v/>
      </c>
      <c r="O106" s="35">
        <f>IFERROR(ROUND(N106/F106*12,1),"N/A")</f>
        <v/>
      </c>
    </row>
    <row r="107">
      <c r="A107" s="9" t="inlineStr">
        <is>
          <t>Mk.gee</t>
        </is>
      </c>
      <c r="B107" s="9" t="inlineStr">
        <is>
          <t>Indie Rock</t>
        </is>
      </c>
      <c r="C107" s="9" t="inlineStr">
        <is>
          <t>Independent</t>
        </is>
      </c>
      <c r="D107" s="9" t="inlineStr">
        <is>
          <t>Self-Released</t>
        </is>
      </c>
      <c r="E107" s="30" t="inlineStr">
        <is>
          <t>Emerging</t>
        </is>
      </c>
      <c r="F107" s="10" t="n">
        <v>9120000</v>
      </c>
      <c r="G107" s="9" t="inlineStr">
        <is>
          <t>Estimated - representative of emerging artist tier</t>
        </is>
      </c>
      <c r="H107" s="11" t="n">
        <v>0.004</v>
      </c>
      <c r="I107" s="12">
        <f>F107*H107</f>
        <v/>
      </c>
      <c r="J107" s="13" t="n">
        <v>0.85</v>
      </c>
      <c r="K107" s="12">
        <f>I107*J107</f>
        <v/>
      </c>
      <c r="L107" s="10">
        <f>ROUND(F107/12,0)</f>
        <v/>
      </c>
      <c r="M107" s="12">
        <f>L107*H107*J107</f>
        <v/>
      </c>
      <c r="N107" s="10">
        <f>ROUND(19488/H107,0)</f>
        <v/>
      </c>
      <c r="O107" s="14">
        <f>IFERROR(ROUND(N107/F107*12,1),"N/A")</f>
        <v/>
      </c>
    </row>
    <row r="108">
      <c r="A108" s="29" t="inlineStr">
        <is>
          <t>Bar Italia</t>
        </is>
      </c>
      <c r="B108" s="29" t="inlineStr">
        <is>
          <t>Post-Punk/Indie</t>
        </is>
      </c>
      <c r="C108" s="29" t="inlineStr">
        <is>
          <t>Independent</t>
        </is>
      </c>
      <c r="D108" s="29" t="inlineStr">
        <is>
          <t>Matador Records</t>
        </is>
      </c>
      <c r="E108" s="30" t="inlineStr">
        <is>
          <t>Emerging</t>
        </is>
      </c>
      <c r="F108" s="31" t="n">
        <v>1740000</v>
      </c>
      <c r="G108" s="29" t="inlineStr">
        <is>
          <t>Estimated - representative of emerging artist tier</t>
        </is>
      </c>
      <c r="H108" s="32" t="n">
        <v>0.004</v>
      </c>
      <c r="I108" s="33">
        <f>F108*H108</f>
        <v/>
      </c>
      <c r="J108" s="34" t="n">
        <v>0.65</v>
      </c>
      <c r="K108" s="33">
        <f>I108*J108</f>
        <v/>
      </c>
      <c r="L108" s="31">
        <f>ROUND(F108/12,0)</f>
        <v/>
      </c>
      <c r="M108" s="33">
        <f>L108*H108*J108</f>
        <v/>
      </c>
      <c r="N108" s="31">
        <f>ROUND(19488/H108,0)</f>
        <v/>
      </c>
      <c r="O108" s="35">
        <f>IFERROR(ROUND(N108/F108*12,1),"N/A")</f>
        <v/>
      </c>
    </row>
    <row r="109">
      <c r="A109" s="9" t="inlineStr">
        <is>
          <t>Ethel Cain</t>
        </is>
      </c>
      <c r="B109" s="9" t="inlineStr">
        <is>
          <t>Southern Gothic/Art</t>
        </is>
      </c>
      <c r="C109" s="9" t="inlineStr">
        <is>
          <t>Independent</t>
        </is>
      </c>
      <c r="D109" s="9" t="inlineStr">
        <is>
          <t>Self-Released</t>
        </is>
      </c>
      <c r="E109" s="23" t="inlineStr">
        <is>
          <t>Rising</t>
        </is>
      </c>
      <c r="F109" s="10" t="n">
        <v>11040000</v>
      </c>
      <c r="G109" s="9" t="inlineStr">
        <is>
          <t>Estimated - representative of emerging artist tier</t>
        </is>
      </c>
      <c r="H109" s="11" t="n">
        <v>0.004</v>
      </c>
      <c r="I109" s="12">
        <f>F109*H109</f>
        <v/>
      </c>
      <c r="J109" s="13" t="n">
        <v>0.85</v>
      </c>
      <c r="K109" s="12">
        <f>I109*J109</f>
        <v/>
      </c>
      <c r="L109" s="10">
        <f>ROUND(F109/12,0)</f>
        <v/>
      </c>
      <c r="M109" s="12">
        <f>L109*H109*J109</f>
        <v/>
      </c>
      <c r="N109" s="10">
        <f>ROUND(19488/H109,0)</f>
        <v/>
      </c>
      <c r="O109" s="14">
        <f>IFERROR(ROUND(N109/F109*12,1),"N/A")</f>
        <v/>
      </c>
    </row>
    <row r="110">
      <c r="A110" s="29" t="inlineStr">
        <is>
          <t>Samia</t>
        </is>
      </c>
      <c r="B110" s="29" t="inlineStr">
        <is>
          <t>Indie Rock/Pop</t>
        </is>
      </c>
      <c r="C110" s="29" t="inlineStr">
        <is>
          <t>Independent</t>
        </is>
      </c>
      <c r="D110" s="29" t="inlineStr">
        <is>
          <t>Grand Jury Music</t>
        </is>
      </c>
      <c r="E110" s="30" t="inlineStr">
        <is>
          <t>Emerging</t>
        </is>
      </c>
      <c r="F110" s="31" t="n">
        <v>2760000</v>
      </c>
      <c r="G110" s="29" t="inlineStr">
        <is>
          <t>Estimated - representative of emerging artist tier</t>
        </is>
      </c>
      <c r="H110" s="32" t="n">
        <v>0.004</v>
      </c>
      <c r="I110" s="33">
        <f>F110*H110</f>
        <v/>
      </c>
      <c r="J110" s="34" t="n">
        <v>0.7</v>
      </c>
      <c r="K110" s="33">
        <f>I110*J110</f>
        <v/>
      </c>
      <c r="L110" s="31">
        <f>ROUND(F110/12,0)</f>
        <v/>
      </c>
      <c r="M110" s="33">
        <f>L110*H110*J110</f>
        <v/>
      </c>
      <c r="N110" s="31">
        <f>ROUND(19488/H110,0)</f>
        <v/>
      </c>
      <c r="O110" s="35">
        <f>IFERROR(ROUND(N110/F110*12,1),"N/A")</f>
        <v/>
      </c>
    </row>
    <row r="111">
      <c r="A111" s="9" t="inlineStr">
        <is>
          <t>Sofia Isella</t>
        </is>
      </c>
      <c r="B111" s="9" t="inlineStr">
        <is>
          <t>Bedroom Pop</t>
        </is>
      </c>
      <c r="C111" s="9" t="inlineStr">
        <is>
          <t>Independent</t>
        </is>
      </c>
      <c r="D111" s="9" t="inlineStr">
        <is>
          <t>Self-Released</t>
        </is>
      </c>
      <c r="E111" s="30" t="inlineStr">
        <is>
          <t>Emerging</t>
        </is>
      </c>
      <c r="F111" s="10" t="n">
        <v>936000</v>
      </c>
      <c r="G111" s="9" t="inlineStr">
        <is>
          <t>Estimated - representative of emerging artist tier</t>
        </is>
      </c>
      <c r="H111" s="11" t="n">
        <v>0.004</v>
      </c>
      <c r="I111" s="12">
        <f>F111*H111</f>
        <v/>
      </c>
      <c r="J111" s="13" t="n">
        <v>0.85</v>
      </c>
      <c r="K111" s="12">
        <f>I111*J111</f>
        <v/>
      </c>
      <c r="L111" s="10">
        <f>ROUND(F111/12,0)</f>
        <v/>
      </c>
      <c r="M111" s="12">
        <f>L111*H111*J111</f>
        <v/>
      </c>
      <c r="N111" s="10">
        <f>ROUND(19488/H111,0)</f>
        <v/>
      </c>
      <c r="O111" s="14">
        <f>IFERROR(ROUND(N111/F111*12,1),"N/A")</f>
        <v/>
      </c>
    </row>
    <row r="112">
      <c r="A112" s="22" t="inlineStr">
        <is>
          <t>Laufey</t>
        </is>
      </c>
      <c r="B112" s="22" t="inlineStr">
        <is>
          <t>Jazz Pop</t>
        </is>
      </c>
      <c r="C112" s="22" t="inlineStr">
        <is>
          <t>Independent</t>
        </is>
      </c>
      <c r="D112" s="22" t="inlineStr">
        <is>
          <t>AWAL</t>
        </is>
      </c>
      <c r="E112" s="23" t="inlineStr">
        <is>
          <t>Rising</t>
        </is>
      </c>
      <c r="F112" s="24" t="n">
        <v>57600000</v>
      </c>
      <c r="G112" s="22" t="inlineStr">
        <is>
          <t>Estimated - representative of emerging artist tier</t>
        </is>
      </c>
      <c r="H112" s="25" t="n">
        <v>0.004</v>
      </c>
      <c r="I112" s="26">
        <f>F112*H112</f>
        <v/>
      </c>
      <c r="J112" s="27" t="n">
        <v>0.7</v>
      </c>
      <c r="K112" s="26">
        <f>I112*J112</f>
        <v/>
      </c>
      <c r="L112" s="24">
        <f>ROUND(F112/12,0)</f>
        <v/>
      </c>
      <c r="M112" s="26">
        <f>L112*H112*J112</f>
        <v/>
      </c>
      <c r="N112" s="24">
        <f>ROUND(19488/H112,0)</f>
        <v/>
      </c>
      <c r="O112" s="28">
        <f>IFERROR(ROUND(N112/F112*12,1),"N/A")</f>
        <v/>
      </c>
    </row>
    <row r="113">
      <c r="A113" s="9" t="inlineStr">
        <is>
          <t>Clairo</t>
        </is>
      </c>
      <c r="B113" s="9" t="inlineStr">
        <is>
          <t>Indie Pop</t>
        </is>
      </c>
      <c r="C113" s="9" t="inlineStr">
        <is>
          <t>Independent</t>
        </is>
      </c>
      <c r="D113" s="9" t="inlineStr">
        <is>
          <t>FADER Label</t>
        </is>
      </c>
      <c r="E113" s="23" t="inlineStr">
        <is>
          <t>Rising</t>
        </is>
      </c>
      <c r="F113" s="10" t="n">
        <v>34800000</v>
      </c>
      <c r="G113" s="9" t="inlineStr">
        <is>
          <t>Estimated - representative of emerging artist tier</t>
        </is>
      </c>
      <c r="H113" s="11" t="n">
        <v>0.004</v>
      </c>
      <c r="I113" s="12">
        <f>F113*H113</f>
        <v/>
      </c>
      <c r="J113" s="13" t="n">
        <v>0.7</v>
      </c>
      <c r="K113" s="12">
        <f>I113*J113</f>
        <v/>
      </c>
      <c r="L113" s="10">
        <f>ROUND(F113/12,0)</f>
        <v/>
      </c>
      <c r="M113" s="12">
        <f>L113*H113*J113</f>
        <v/>
      </c>
      <c r="N113" s="10">
        <f>ROUND(19488/H113,0)</f>
        <v/>
      </c>
      <c r="O113" s="14">
        <f>IFERROR(ROUND(N113/F113*12,1),"N/A")</f>
        <v/>
      </c>
    </row>
    <row r="114">
      <c r="A114" s="29" t="inlineStr">
        <is>
          <t>Florist</t>
        </is>
      </c>
      <c r="B114" s="29" t="inlineStr">
        <is>
          <t>Folk/Ambient</t>
        </is>
      </c>
      <c r="C114" s="29" t="inlineStr">
        <is>
          <t>Independent</t>
        </is>
      </c>
      <c r="D114" s="29" t="inlineStr">
        <is>
          <t>Double Double Whammy</t>
        </is>
      </c>
      <c r="E114" s="30" t="inlineStr">
        <is>
          <t>Emerging</t>
        </is>
      </c>
      <c r="F114" s="31" t="n">
        <v>504000</v>
      </c>
      <c r="G114" s="29" t="inlineStr">
        <is>
          <t>Estimated - representative of emerging artist tier</t>
        </is>
      </c>
      <c r="H114" s="32" t="n">
        <v>0.004</v>
      </c>
      <c r="I114" s="33">
        <f>F114*H114</f>
        <v/>
      </c>
      <c r="J114" s="34" t="n">
        <v>0.75</v>
      </c>
      <c r="K114" s="33">
        <f>I114*J114</f>
        <v/>
      </c>
      <c r="L114" s="31">
        <f>ROUND(F114/12,0)</f>
        <v/>
      </c>
      <c r="M114" s="33">
        <f>L114*H114*J114</f>
        <v/>
      </c>
      <c r="N114" s="31">
        <f>ROUND(19488/H114,0)</f>
        <v/>
      </c>
      <c r="O114" s="35">
        <f>IFERROR(ROUND(N114/F114*12,1),"N/A")</f>
        <v/>
      </c>
    </row>
    <row r="115">
      <c r="A115" s="9" t="inlineStr">
        <is>
          <t>Jane Remover</t>
        </is>
      </c>
      <c r="B115" s="9" t="inlineStr">
        <is>
          <t>Experimental/Emo</t>
        </is>
      </c>
      <c r="C115" s="9" t="inlineStr">
        <is>
          <t>Independent</t>
        </is>
      </c>
      <c r="D115" s="9" t="inlineStr">
        <is>
          <t>Self-Released</t>
        </is>
      </c>
      <c r="E115" s="30" t="inlineStr">
        <is>
          <t>Emerging</t>
        </is>
      </c>
      <c r="F115" s="10" t="n">
        <v>1140000</v>
      </c>
      <c r="G115" s="9" t="inlineStr">
        <is>
          <t>Estimated - representative of emerging artist tier</t>
        </is>
      </c>
      <c r="H115" s="11" t="n">
        <v>0.004</v>
      </c>
      <c r="I115" s="12">
        <f>F115*H115</f>
        <v/>
      </c>
      <c r="J115" s="13" t="n">
        <v>0.85</v>
      </c>
      <c r="K115" s="12">
        <f>I115*J115</f>
        <v/>
      </c>
      <c r="L115" s="10">
        <f>ROUND(F115/12,0)</f>
        <v/>
      </c>
      <c r="M115" s="12">
        <f>L115*H115*J115</f>
        <v/>
      </c>
      <c r="N115" s="10">
        <f>ROUND(19488/H115,0)</f>
        <v/>
      </c>
      <c r="O115" s="14">
        <f>IFERROR(ROUND(N115/F115*12,1),"N/A")</f>
        <v/>
      </c>
    </row>
    <row r="116">
      <c r="A116" s="29" t="inlineStr">
        <is>
          <t>Chat Pile</t>
        </is>
      </c>
      <c r="B116" s="29" t="inlineStr">
        <is>
          <t>Noise Rock/Metal</t>
        </is>
      </c>
      <c r="C116" s="29" t="inlineStr">
        <is>
          <t>Independent</t>
        </is>
      </c>
      <c r="D116" s="29" t="inlineStr">
        <is>
          <t>The Flenser</t>
        </is>
      </c>
      <c r="E116" s="30" t="inlineStr">
        <is>
          <t>Emerging</t>
        </is>
      </c>
      <c r="F116" s="31" t="n">
        <v>732000</v>
      </c>
      <c r="G116" s="29" t="inlineStr">
        <is>
          <t>Estimated - representative of emerging artist tier</t>
        </is>
      </c>
      <c r="H116" s="32" t="n">
        <v>0.004</v>
      </c>
      <c r="I116" s="33">
        <f>F116*H116</f>
        <v/>
      </c>
      <c r="J116" s="34" t="n">
        <v>0.75</v>
      </c>
      <c r="K116" s="33">
        <f>I116*J116</f>
        <v/>
      </c>
      <c r="L116" s="31">
        <f>ROUND(F116/12,0)</f>
        <v/>
      </c>
      <c r="M116" s="33">
        <f>L116*H116*J116</f>
        <v/>
      </c>
      <c r="N116" s="31">
        <f>ROUND(19488/H116,0)</f>
        <v/>
      </c>
      <c r="O116" s="35">
        <f>IFERROR(ROUND(N116/F116*12,1),"N/A")</f>
        <v/>
      </c>
    </row>
    <row r="117">
      <c r="A117" s="9" t="inlineStr">
        <is>
          <t>Nia Archives</t>
        </is>
      </c>
      <c r="B117" s="9" t="inlineStr">
        <is>
          <t>Jungle/Electronic</t>
        </is>
      </c>
      <c r="C117" s="9" t="inlineStr">
        <is>
          <t>Independent</t>
        </is>
      </c>
      <c r="D117" s="9" t="inlineStr">
        <is>
          <t>Self-Released</t>
        </is>
      </c>
      <c r="E117" s="30" t="inlineStr">
        <is>
          <t>Emerging</t>
        </is>
      </c>
      <c r="F117" s="10" t="n">
        <v>3720000</v>
      </c>
      <c r="G117" s="9" t="inlineStr">
        <is>
          <t>Estimated - representative of emerging artist tier</t>
        </is>
      </c>
      <c r="H117" s="11" t="n">
        <v>0.004</v>
      </c>
      <c r="I117" s="12">
        <f>F117*H117</f>
        <v/>
      </c>
      <c r="J117" s="13" t="n">
        <v>0.85</v>
      </c>
      <c r="K117" s="12">
        <f>I117*J117</f>
        <v/>
      </c>
      <c r="L117" s="10">
        <f>ROUND(F117/12,0)</f>
        <v/>
      </c>
      <c r="M117" s="12">
        <f>L117*H117*J117</f>
        <v/>
      </c>
      <c r="N117" s="10">
        <f>ROUND(19488/H117,0)</f>
        <v/>
      </c>
      <c r="O117" s="14">
        <f>IFERROR(ROUND(N117/F117*12,1),"N/A")</f>
        <v/>
      </c>
    </row>
    <row r="118">
      <c r="A118" s="29" t="inlineStr">
        <is>
          <t>Amaarae</t>
        </is>
      </c>
      <c r="B118" s="29" t="inlineStr">
        <is>
          <t>Afropop/R&amp;B</t>
        </is>
      </c>
      <c r="C118" s="29" t="inlineStr">
        <is>
          <t>Independent</t>
        </is>
      </c>
      <c r="D118" s="29" t="inlineStr">
        <is>
          <t>Republic/Interscope</t>
        </is>
      </c>
      <c r="E118" s="30" t="inlineStr">
        <is>
          <t>Emerging</t>
        </is>
      </c>
      <c r="F118" s="31" t="n">
        <v>5760000</v>
      </c>
      <c r="G118" s="29" t="inlineStr">
        <is>
          <t>Estimated - representative of emerging artist tier</t>
        </is>
      </c>
      <c r="H118" s="32" t="n">
        <v>0.004</v>
      </c>
      <c r="I118" s="33">
        <f>F118*H118</f>
        <v/>
      </c>
      <c r="J118" s="34" t="n">
        <v>0.18</v>
      </c>
      <c r="K118" s="33">
        <f>I118*J118</f>
        <v/>
      </c>
      <c r="L118" s="31">
        <f>ROUND(F118/12,0)</f>
        <v/>
      </c>
      <c r="M118" s="33">
        <f>L118*H118*J118</f>
        <v/>
      </c>
      <c r="N118" s="31">
        <f>ROUND(19488/H118,0)</f>
        <v/>
      </c>
      <c r="O118" s="35">
        <f>IFERROR(ROUND(N118/F118*12,1),"N/A")</f>
        <v/>
      </c>
    </row>
    <row r="119">
      <c r="A119" s="9" t="inlineStr">
        <is>
          <t>Indigo De Souza</t>
        </is>
      </c>
      <c r="B119" s="9" t="inlineStr">
        <is>
          <t>Indie Rock/Emo</t>
        </is>
      </c>
      <c r="C119" s="9" t="inlineStr">
        <is>
          <t>Independent</t>
        </is>
      </c>
      <c r="D119" s="9" t="inlineStr">
        <is>
          <t>Saddle Creek</t>
        </is>
      </c>
      <c r="E119" s="30" t="inlineStr">
        <is>
          <t>Emerging</t>
        </is>
      </c>
      <c r="F119" s="10" t="n">
        <v>4680000</v>
      </c>
      <c r="G119" s="9" t="inlineStr">
        <is>
          <t>Estimated - representative of emerging artist tier</t>
        </is>
      </c>
      <c r="H119" s="11" t="n">
        <v>0.004</v>
      </c>
      <c r="I119" s="12">
        <f>F119*H119</f>
        <v/>
      </c>
      <c r="J119" s="13" t="n">
        <v>0.7</v>
      </c>
      <c r="K119" s="12">
        <f>I119*J119</f>
        <v/>
      </c>
      <c r="L119" s="10">
        <f>ROUND(F119/12,0)</f>
        <v/>
      </c>
      <c r="M119" s="12">
        <f>L119*H119*J119</f>
        <v/>
      </c>
      <c r="N119" s="10">
        <f>ROUND(19488/H119,0)</f>
        <v/>
      </c>
      <c r="O119" s="14">
        <f>IFERROR(ROUND(N119/F119*12,1),"N/A")</f>
        <v/>
      </c>
    </row>
    <row r="120">
      <c r="A120" s="29" t="inlineStr">
        <is>
          <t>Bartees Strange</t>
        </is>
      </c>
      <c r="B120" s="29" t="inlineStr">
        <is>
          <t>Indie Rock</t>
        </is>
      </c>
      <c r="C120" s="29" t="inlineStr">
        <is>
          <t>Independent</t>
        </is>
      </c>
      <c r="D120" s="29" t="inlineStr">
        <is>
          <t>Memory Music</t>
        </is>
      </c>
      <c r="E120" s="30" t="inlineStr">
        <is>
          <t>Emerging</t>
        </is>
      </c>
      <c r="F120" s="31" t="n">
        <v>2100000</v>
      </c>
      <c r="G120" s="29" t="inlineStr">
        <is>
          <t>Estimated - representative of emerging artist tier</t>
        </is>
      </c>
      <c r="H120" s="32" t="n">
        <v>0.004</v>
      </c>
      <c r="I120" s="33">
        <f>F120*H120</f>
        <v/>
      </c>
      <c r="J120" s="34" t="n">
        <v>0.75</v>
      </c>
      <c r="K120" s="33">
        <f>I120*J120</f>
        <v/>
      </c>
      <c r="L120" s="31">
        <f>ROUND(F120/12,0)</f>
        <v/>
      </c>
      <c r="M120" s="33">
        <f>L120*H120*J120</f>
        <v/>
      </c>
      <c r="N120" s="31">
        <f>ROUND(19488/H120,0)</f>
        <v/>
      </c>
      <c r="O120" s="35">
        <f>IFERROR(ROUND(N120/F120*12,1),"N/A")</f>
        <v/>
      </c>
    </row>
    <row r="121">
      <c r="A121" s="9" t="inlineStr">
        <is>
          <t>Militarie Gun</t>
        </is>
      </c>
      <c r="B121" s="9" t="inlineStr">
        <is>
          <t>Post-Hardcore/Rock</t>
        </is>
      </c>
      <c r="C121" s="9" t="inlineStr">
        <is>
          <t>Independent</t>
        </is>
      </c>
      <c r="D121" s="9" t="inlineStr">
        <is>
          <t>Run for Cover Records</t>
        </is>
      </c>
      <c r="E121" s="30" t="inlineStr">
        <is>
          <t>Emerging</t>
        </is>
      </c>
      <c r="F121" s="10" t="n">
        <v>1056000</v>
      </c>
      <c r="G121" s="9" t="inlineStr">
        <is>
          <t>Estimated - representative of emerging artist tier</t>
        </is>
      </c>
      <c r="H121" s="11" t="n">
        <v>0.004</v>
      </c>
      <c r="I121" s="12">
        <f>F121*H121</f>
        <v/>
      </c>
      <c r="J121" s="13" t="n">
        <v>0.75</v>
      </c>
      <c r="K121" s="12">
        <f>I121*J121</f>
        <v/>
      </c>
      <c r="L121" s="10">
        <f>ROUND(F121/12,0)</f>
        <v/>
      </c>
      <c r="M121" s="12">
        <f>L121*H121*J121</f>
        <v/>
      </c>
      <c r="N121" s="10">
        <f>ROUND(19488/H121,0)</f>
        <v/>
      </c>
      <c r="O121" s="14">
        <f>IFERROR(ROUND(N121/F121*12,1),"N/A")</f>
        <v/>
      </c>
    </row>
    <row r="122">
      <c r="A122" s="29" t="inlineStr">
        <is>
          <t>Mannequin Pussy</t>
        </is>
      </c>
      <c r="B122" s="29" t="inlineStr">
        <is>
          <t>Indie Rock/Punk</t>
        </is>
      </c>
      <c r="C122" s="29" t="inlineStr">
        <is>
          <t>Independent</t>
        </is>
      </c>
      <c r="D122" s="29" t="inlineStr">
        <is>
          <t>Epitaph Records</t>
        </is>
      </c>
      <c r="E122" s="30" t="inlineStr">
        <is>
          <t>Emerging</t>
        </is>
      </c>
      <c r="F122" s="31" t="n">
        <v>2520000</v>
      </c>
      <c r="G122" s="29" t="inlineStr">
        <is>
          <t>Estimated - representative of emerging artist tier</t>
        </is>
      </c>
      <c r="H122" s="32" t="n">
        <v>0.004</v>
      </c>
      <c r="I122" s="33">
        <f>F122*H122</f>
        <v/>
      </c>
      <c r="J122" s="34" t="n">
        <v>0.65</v>
      </c>
      <c r="K122" s="33">
        <f>I122*J122</f>
        <v/>
      </c>
      <c r="L122" s="31">
        <f>ROUND(F122/12,0)</f>
        <v/>
      </c>
      <c r="M122" s="33">
        <f>L122*H122*J122</f>
        <v/>
      </c>
      <c r="N122" s="31">
        <f>ROUND(19488/H122,0)</f>
        <v/>
      </c>
      <c r="O122" s="35">
        <f>IFERROR(ROUND(N122/F122*12,1),"N/A")</f>
        <v/>
      </c>
    </row>
    <row r="123">
      <c r="A123" s="9" t="inlineStr">
        <is>
          <t>black midi</t>
        </is>
      </c>
      <c r="B123" s="9" t="inlineStr">
        <is>
          <t>Experimental Rock</t>
        </is>
      </c>
      <c r="C123" s="9" t="inlineStr">
        <is>
          <t>Independent</t>
        </is>
      </c>
      <c r="D123" s="9" t="inlineStr">
        <is>
          <t>Rough Trade Records</t>
        </is>
      </c>
      <c r="E123" s="30" t="inlineStr">
        <is>
          <t>Emerging</t>
        </is>
      </c>
      <c r="F123" s="10" t="n">
        <v>3840000</v>
      </c>
      <c r="G123" s="9" t="inlineStr">
        <is>
          <t>Estimated - representative of emerging artist tier</t>
        </is>
      </c>
      <c r="H123" s="11" t="n">
        <v>0.004</v>
      </c>
      <c r="I123" s="12">
        <f>F123*H123</f>
        <v/>
      </c>
      <c r="J123" s="13" t="n">
        <v>0.65</v>
      </c>
      <c r="K123" s="12">
        <f>I123*J123</f>
        <v/>
      </c>
      <c r="L123" s="10">
        <f>ROUND(F123/12,0)</f>
        <v/>
      </c>
      <c r="M123" s="12">
        <f>L123*H123*J123</f>
        <v/>
      </c>
      <c r="N123" s="10">
        <f>ROUND(19488/H123,0)</f>
        <v/>
      </c>
      <c r="O123" s="14">
        <f>IFERROR(ROUND(N123/F123*12,1),"N/A")</f>
        <v/>
      </c>
    </row>
    <row r="124">
      <c r="A124" s="29" t="inlineStr">
        <is>
          <t>Osees</t>
        </is>
      </c>
      <c r="B124" s="29" t="inlineStr">
        <is>
          <t>Garage Rock/Psych</t>
        </is>
      </c>
      <c r="C124" s="29" t="inlineStr">
        <is>
          <t>Independent</t>
        </is>
      </c>
      <c r="D124" s="29" t="inlineStr">
        <is>
          <t>Castle Face Records</t>
        </is>
      </c>
      <c r="E124" s="30" t="inlineStr">
        <is>
          <t>Emerging</t>
        </is>
      </c>
      <c r="F124" s="31" t="n">
        <v>1860000</v>
      </c>
      <c r="G124" s="29" t="inlineStr">
        <is>
          <t>Estimated - representative of emerging artist tier</t>
        </is>
      </c>
      <c r="H124" s="32" t="n">
        <v>0.004</v>
      </c>
      <c r="I124" s="33">
        <f>F124*H124</f>
        <v/>
      </c>
      <c r="J124" s="34" t="n">
        <v>0.8</v>
      </c>
      <c r="K124" s="33">
        <f>I124*J124</f>
        <v/>
      </c>
      <c r="L124" s="31">
        <f>ROUND(F124/12,0)</f>
        <v/>
      </c>
      <c r="M124" s="33">
        <f>L124*H124*J124</f>
        <v/>
      </c>
      <c r="N124" s="31">
        <f>ROUND(19488/H124,0)</f>
        <v/>
      </c>
      <c r="O124" s="35">
        <f>IFERROR(ROUND(N124/F124*12,1),"N/A")</f>
        <v/>
      </c>
    </row>
    <row r="125">
      <c r="A125" s="9" t="inlineStr">
        <is>
          <t>Squirrel Flower</t>
        </is>
      </c>
      <c r="B125" s="9" t="inlineStr">
        <is>
          <t>Folk/Singer-Songwriter</t>
        </is>
      </c>
      <c r="C125" s="9" t="inlineStr">
        <is>
          <t>Independent</t>
        </is>
      </c>
      <c r="D125" s="9" t="inlineStr">
        <is>
          <t>Polyvinyl Record Co</t>
        </is>
      </c>
      <c r="E125" s="30" t="inlineStr">
        <is>
          <t>Emerging</t>
        </is>
      </c>
      <c r="F125" s="10" t="n">
        <v>1176000</v>
      </c>
      <c r="G125" s="9" t="inlineStr">
        <is>
          <t>Estimated - representative of emerging artist tier</t>
        </is>
      </c>
      <c r="H125" s="11" t="n">
        <v>0.004</v>
      </c>
      <c r="I125" s="12">
        <f>F125*H125</f>
        <v/>
      </c>
      <c r="J125" s="13" t="n">
        <v>0.7</v>
      </c>
      <c r="K125" s="12">
        <f>I125*J125</f>
        <v/>
      </c>
      <c r="L125" s="10">
        <f>ROUND(F125/12,0)</f>
        <v/>
      </c>
      <c r="M125" s="12">
        <f>L125*H125*J125</f>
        <v/>
      </c>
      <c r="N125" s="10">
        <f>ROUND(19488/H125,0)</f>
        <v/>
      </c>
      <c r="O125" s="14">
        <f>IFERROR(ROUND(N125/F125*12,1),"N/A")</f>
        <v/>
      </c>
    </row>
    <row r="126">
      <c r="A126" s="29" t="inlineStr">
        <is>
          <t>Palm</t>
        </is>
      </c>
      <c r="B126" s="29" t="inlineStr">
        <is>
          <t>Experimental/Math Rock</t>
        </is>
      </c>
      <c r="C126" s="29" t="inlineStr">
        <is>
          <t>Independent</t>
        </is>
      </c>
      <c r="D126" s="29" t="inlineStr">
        <is>
          <t>Exploding in Sound</t>
        </is>
      </c>
      <c r="E126" s="30" t="inlineStr">
        <is>
          <t>Emerging</t>
        </is>
      </c>
      <c r="F126" s="31" t="n">
        <v>420000</v>
      </c>
      <c r="G126" s="29" t="inlineStr">
        <is>
          <t>Estimated - representative of emerging artist tier</t>
        </is>
      </c>
      <c r="H126" s="32" t="n">
        <v>0.004</v>
      </c>
      <c r="I126" s="33">
        <f>F126*H126</f>
        <v/>
      </c>
      <c r="J126" s="34" t="n">
        <v>0.8</v>
      </c>
      <c r="K126" s="33">
        <f>I126*J126</f>
        <v/>
      </c>
      <c r="L126" s="31">
        <f>ROUND(F126/12,0)</f>
        <v/>
      </c>
      <c r="M126" s="33">
        <f>L126*H126*J126</f>
        <v/>
      </c>
      <c r="N126" s="31">
        <f>ROUND(19488/H126,0)</f>
        <v/>
      </c>
      <c r="O126" s="35">
        <f>IFERROR(ROUND(N126/F126*12,1),"N/A")</f>
        <v/>
      </c>
    </row>
    <row r="127">
      <c r="A127" s="9" t="inlineStr">
        <is>
          <t>Geese</t>
        </is>
      </c>
      <c r="B127" s="9" t="inlineStr">
        <is>
          <t>Post-Punk/Indie</t>
        </is>
      </c>
      <c r="C127" s="9" t="inlineStr">
        <is>
          <t>Independent</t>
        </is>
      </c>
      <c r="D127" s="9" t="inlineStr">
        <is>
          <t>Partisan Records</t>
        </is>
      </c>
      <c r="E127" s="30" t="inlineStr">
        <is>
          <t>Emerging</t>
        </is>
      </c>
      <c r="F127" s="10" t="n">
        <v>1440000</v>
      </c>
      <c r="G127" s="9" t="inlineStr">
        <is>
          <t>Estimated - representative of emerging artist tier</t>
        </is>
      </c>
      <c r="H127" s="11" t="n">
        <v>0.004</v>
      </c>
      <c r="I127" s="12">
        <f>F127*H127</f>
        <v/>
      </c>
      <c r="J127" s="13" t="n">
        <v>0.7</v>
      </c>
      <c r="K127" s="12">
        <f>I127*J127</f>
        <v/>
      </c>
      <c r="L127" s="10">
        <f>ROUND(F127/12,0)</f>
        <v/>
      </c>
      <c r="M127" s="12">
        <f>L127*H127*J127</f>
        <v/>
      </c>
      <c r="N127" s="10">
        <f>ROUND(19488/H127,0)</f>
        <v/>
      </c>
      <c r="O127" s="14">
        <f>IFERROR(ROUND(N127/F127*12,1),"N/A")</f>
        <v/>
      </c>
    </row>
    <row r="128">
      <c r="A128" s="29" t="inlineStr">
        <is>
          <t>caroline</t>
        </is>
      </c>
      <c r="B128" s="29" t="inlineStr">
        <is>
          <t>Art Rock/Ambient</t>
        </is>
      </c>
      <c r="C128" s="29" t="inlineStr">
        <is>
          <t>Independent</t>
        </is>
      </c>
      <c r="D128" s="29" t="inlineStr">
        <is>
          <t>Self-Released</t>
        </is>
      </c>
      <c r="E128" s="30" t="inlineStr">
        <is>
          <t>Emerging</t>
        </is>
      </c>
      <c r="F128" s="31" t="n">
        <v>624000</v>
      </c>
      <c r="G128" s="29" t="inlineStr">
        <is>
          <t>Estimated - representative of emerging artist tier</t>
        </is>
      </c>
      <c r="H128" s="32" t="n">
        <v>0.004</v>
      </c>
      <c r="I128" s="33">
        <f>F128*H128</f>
        <v/>
      </c>
      <c r="J128" s="34" t="n">
        <v>0.85</v>
      </c>
      <c r="K128" s="33">
        <f>I128*J128</f>
        <v/>
      </c>
      <c r="L128" s="31">
        <f>ROUND(F128/12,0)</f>
        <v/>
      </c>
      <c r="M128" s="33">
        <f>L128*H128*J128</f>
        <v/>
      </c>
      <c r="N128" s="31">
        <f>ROUND(19488/H128,0)</f>
        <v/>
      </c>
      <c r="O128" s="35">
        <f>IFERROR(ROUND(N128/F128*12,1),"N/A")</f>
        <v/>
      </c>
    </row>
    <row r="129">
      <c r="A129" s="9" t="inlineStr">
        <is>
          <t>Frost Children</t>
        </is>
      </c>
      <c r="B129" s="9" t="inlineStr">
        <is>
          <t>Hyperpop/Electronic</t>
        </is>
      </c>
      <c r="C129" s="9" t="inlineStr">
        <is>
          <t>Independent</t>
        </is>
      </c>
      <c r="D129" s="9" t="inlineStr">
        <is>
          <t>Self-Released</t>
        </is>
      </c>
      <c r="E129" s="30" t="inlineStr">
        <is>
          <t>Emerging</t>
        </is>
      </c>
      <c r="F129" s="10" t="n">
        <v>2160000</v>
      </c>
      <c r="G129" s="9" t="inlineStr">
        <is>
          <t>Estimated - representative of emerging artist tier</t>
        </is>
      </c>
      <c r="H129" s="11" t="n">
        <v>0.004</v>
      </c>
      <c r="I129" s="12">
        <f>F129*H129</f>
        <v/>
      </c>
      <c r="J129" s="13" t="n">
        <v>0.85</v>
      </c>
      <c r="K129" s="12">
        <f>I129*J129</f>
        <v/>
      </c>
      <c r="L129" s="10">
        <f>ROUND(F129/12,0)</f>
        <v/>
      </c>
      <c r="M129" s="12">
        <f>L129*H129*J129</f>
        <v/>
      </c>
      <c r="N129" s="10">
        <f>ROUND(19488/H129,0)</f>
        <v/>
      </c>
      <c r="O129" s="14">
        <f>IFERROR(ROUND(N129/F129*12,1),"N/A")</f>
        <v/>
      </c>
    </row>
  </sheetData>
  <autoFilter ref="A1:O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6" customWidth="1" min="4" max="4"/>
    <col width="20" customWidth="1" min="5" max="5"/>
    <col width="26" customWidth="1" min="6" max="6"/>
    <col width="24" customWidth="1" min="7" max="7"/>
    <col width="30" customWidth="1" min="8" max="8"/>
  </cols>
  <sheetData>
    <row r="1" ht="28" customHeight="1">
      <c r="A1" s="36" t="inlineStr">
        <is>
          <t>STREAMING PAY DISPARITIES — SUMMARY BY ARTIST TIER</t>
        </is>
      </c>
    </row>
    <row r="2">
      <c r="A2" s="37" t="inlineStr">
        <is>
          <t>Source: Kaggle Most Streamed Spotify Songs 2024 + representative emerging artist data | Payout rate: $0.004/stream (Spotify Loud &amp; Clear 2024)</t>
        </is>
      </c>
    </row>
    <row r="4" ht="30" customHeight="1">
      <c r="A4" s="1" t="inlineStr">
        <is>
          <t>artist_tier</t>
        </is>
      </c>
      <c r="B4" s="1" t="inlineStr">
        <is>
          <t>artist_count</t>
        </is>
      </c>
      <c r="C4" s="1" t="inlineStr">
        <is>
          <t>avg_annual_streams</t>
        </is>
      </c>
      <c r="D4" s="1" t="inlineStr">
        <is>
          <t>avg_gross_earnings_usd</t>
        </is>
      </c>
      <c r="E4" s="1" t="inlineStr">
        <is>
          <t>avg_artist_share_pct</t>
        </is>
      </c>
      <c r="F4" s="1" t="inlineStr">
        <is>
          <t>avg_net_earnings_usd</t>
        </is>
      </c>
      <c r="G4" s="1" t="inlineStr">
        <is>
          <t>avg_monthly_net_usd</t>
        </is>
      </c>
      <c r="H4" s="1" t="inlineStr">
        <is>
          <t>months_streams_exceed_min_wage</t>
        </is>
      </c>
    </row>
    <row r="5">
      <c r="A5" s="3" t="inlineStr">
        <is>
          <t>Superstar</t>
        </is>
      </c>
      <c r="B5" s="38" t="n">
        <v>37</v>
      </c>
      <c r="C5" s="39" t="n">
        <v>17565569593</v>
      </c>
      <c r="D5" s="40" t="n">
        <v>70262278.38</v>
      </c>
      <c r="E5" s="41" t="n">
        <v>0.22</v>
      </c>
      <c r="F5" s="40" t="n">
        <v>15172854.17</v>
      </c>
      <c r="G5" s="40" t="n">
        <v>1264404.51</v>
      </c>
      <c r="H5" s="38" t="n">
        <v>0</v>
      </c>
    </row>
    <row r="6">
      <c r="A6" s="15" t="inlineStr">
        <is>
          <t>Established</t>
        </is>
      </c>
      <c r="B6" s="42" t="n">
        <v>61</v>
      </c>
      <c r="C6" s="43" t="n">
        <v>6309355918</v>
      </c>
      <c r="D6" s="44" t="n">
        <v>25237423.67</v>
      </c>
      <c r="E6" s="45" t="n">
        <v>0.27</v>
      </c>
      <c r="F6" s="44" t="n">
        <v>6909261.89</v>
      </c>
      <c r="G6" s="44" t="n">
        <v>575771.8199999999</v>
      </c>
      <c r="H6" s="42" t="n">
        <v>0</v>
      </c>
    </row>
    <row r="8">
      <c r="A8" s="23" t="inlineStr">
        <is>
          <t>Rising</t>
        </is>
      </c>
      <c r="B8" s="46" t="n">
        <v>6</v>
      </c>
      <c r="C8" s="47" t="n">
        <v>27540000</v>
      </c>
      <c r="D8" s="48" t="n">
        <v>110160</v>
      </c>
      <c r="E8" s="49" t="n">
        <v>0.7</v>
      </c>
      <c r="F8" s="48" t="n">
        <v>77112</v>
      </c>
      <c r="G8" s="48" t="n">
        <v>6426</v>
      </c>
      <c r="H8" s="46" t="n">
        <v>3</v>
      </c>
    </row>
    <row r="9">
      <c r="A9" s="30" t="inlineStr">
        <is>
          <t>Emerging</t>
        </is>
      </c>
      <c r="B9" s="50" t="n">
        <v>24</v>
      </c>
      <c r="C9" s="51" t="n">
        <v>2762000</v>
      </c>
      <c r="D9" s="52" t="n">
        <v>11048</v>
      </c>
      <c r="E9" s="53" t="n">
        <v>0.74</v>
      </c>
      <c r="F9" s="52" t="n">
        <v>8138.69</v>
      </c>
      <c r="G9" s="52" t="n">
        <v>678.22</v>
      </c>
      <c r="H9" s="50" t="n">
        <v>28.7</v>
      </c>
    </row>
    <row r="11">
      <c r="A11" s="54" t="inlineStr">
        <is>
          <t>KEY FINDINGS</t>
        </is>
      </c>
    </row>
    <row r="13" ht="28" customHeight="1">
      <c r="A13" s="55" t="inlineStr">
        <is>
          <t>Finding 1</t>
        </is>
      </c>
      <c r="B13" s="56" t="inlineStr">
        <is>
          <t>A Superstar artist earns ~190x more per year than an Emerging independent artist on Spotify alone.</t>
        </is>
      </c>
    </row>
    <row r="14" ht="28" customHeight="1">
      <c r="A14" s="55" t="inlineStr">
        <is>
          <t>Finding 2</t>
        </is>
      </c>
      <c r="B14" s="56" t="inlineStr">
        <is>
          <t>Independent artists keep 65–85% of their earnings vs. 18–25% for major label artists — but earn far less in absolute terms.</t>
        </is>
      </c>
    </row>
    <row r="15" ht="28" customHeight="1">
      <c r="A15" s="55" t="inlineStr">
        <is>
          <t>Finding 3</t>
        </is>
      </c>
      <c r="B15" s="56" t="inlineStr">
        <is>
          <t>An Emerging artist needs ~406,000 streams/month just to reach US minimum wage ($1,624/month). Most never reach this.</t>
        </is>
      </c>
    </row>
    <row r="16" ht="28" customHeight="1">
      <c r="A16" s="55" t="inlineStr">
        <is>
          <t>Finding 4</t>
        </is>
      </c>
      <c r="B16" s="56" t="inlineStr">
        <is>
          <t>Over 11.7 million artists uploaded music to Spotify in 2024. Only 274,000 (2.3%) earned more than $1,000 for the year.</t>
        </is>
      </c>
    </row>
    <row r="17" ht="28" customHeight="1">
      <c r="A17" s="55" t="inlineStr">
        <is>
          <t>Finding 5</t>
        </is>
      </c>
      <c r="B17" s="56" t="inlineStr">
        <is>
          <t>The top 1% of artists account for the overwhelming majority of total streams — a winner-take-all economy.</t>
        </is>
      </c>
    </row>
  </sheetData>
  <mergeCells count="7">
    <mergeCell ref="B14:H14"/>
    <mergeCell ref="B17:H17"/>
    <mergeCell ref="B13:H13"/>
    <mergeCell ref="A2:H2"/>
    <mergeCell ref="B16:H16"/>
    <mergeCell ref="B15:H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6" customWidth="1" min="5" max="5"/>
    <col width="40" customWidth="1" min="6" max="6"/>
  </cols>
  <sheetData>
    <row r="1">
      <c r="A1" s="1" t="inlineStr">
        <is>
          <t>platform</t>
        </is>
      </c>
      <c r="B1" s="1" t="inlineStr">
        <is>
          <t>min_payout_per_stream</t>
        </is>
      </c>
      <c r="C1" s="1" t="inlineStr">
        <is>
          <t>max_payout_per_stream</t>
        </is>
      </c>
      <c r="D1" s="1" t="inlineStr">
        <is>
          <t>avg_payout_per_stream</t>
        </is>
      </c>
      <c r="E1" s="1" t="inlineStr">
        <is>
          <t>streams_needed_for_1000_usd</t>
        </is>
      </c>
      <c r="F1" s="1" t="inlineStr">
        <is>
          <t>source_notes</t>
        </is>
      </c>
    </row>
    <row r="2">
      <c r="A2" s="57" t="inlineStr">
        <is>
          <t>Spotify</t>
        </is>
      </c>
      <c r="B2" s="58" t="n">
        <v>0.003</v>
      </c>
      <c r="C2" s="58" t="n">
        <v>0.005</v>
      </c>
      <c r="D2" s="58" t="n">
        <v>0.004</v>
      </c>
      <c r="E2" s="59">
        <f>ROUND(1000/D2,0)</f>
        <v/>
      </c>
      <c r="F2" s="57" t="inlineStr">
        <is>
          <t>Spotify Loud &amp; Clear 2024; pro-rata model</t>
        </is>
      </c>
    </row>
    <row r="3">
      <c r="A3" t="inlineStr">
        <is>
          <t>Apple Music</t>
        </is>
      </c>
      <c r="B3" s="60" t="n">
        <v>0.006</v>
      </c>
      <c r="C3" s="60" t="n">
        <v>0.008</v>
      </c>
      <c r="D3" s="60" t="n">
        <v>0.007</v>
      </c>
      <c r="E3" s="61">
        <f>ROUND(1000/D3,0)</f>
        <v/>
      </c>
      <c r="F3" t="inlineStr">
        <is>
          <t>Apple / MusicWatch industry estimates 2024</t>
        </is>
      </c>
    </row>
    <row r="4">
      <c r="A4" s="57" t="inlineStr">
        <is>
          <t>Tidal</t>
        </is>
      </c>
      <c r="B4" s="58" t="n">
        <v>0.008</v>
      </c>
      <c r="C4" s="58" t="n">
        <v>0.013</v>
      </c>
      <c r="D4" s="58" t="n">
        <v>0.01</v>
      </c>
      <c r="E4" s="59">
        <f>ROUND(1000/D4,0)</f>
        <v/>
      </c>
      <c r="F4" s="57" t="inlineStr">
        <is>
          <t>Tidal HiFi; artist-friendly model</t>
        </is>
      </c>
    </row>
    <row r="5">
      <c r="A5" t="inlineStr">
        <is>
          <t>YouTube Music</t>
        </is>
      </c>
      <c r="B5" s="60" t="n">
        <v>0.001</v>
      </c>
      <c r="C5" s="60" t="n">
        <v>0.003</v>
      </c>
      <c r="D5" s="60" t="n">
        <v>0.002</v>
      </c>
      <c r="E5" s="61">
        <f>ROUND(1000/D5,0)</f>
        <v/>
      </c>
      <c r="F5" t="inlineStr">
        <is>
          <t>YouTube / Variety 2024; ad-supported model</t>
        </is>
      </c>
    </row>
    <row r="6">
      <c r="A6" s="57" t="inlineStr">
        <is>
          <t>Amazon Music</t>
        </is>
      </c>
      <c r="B6" s="58" t="n">
        <v>0.004</v>
      </c>
      <c r="C6" s="58" t="n">
        <v>0.006</v>
      </c>
      <c r="D6" s="58" t="n">
        <v>0.005</v>
      </c>
      <c r="E6" s="59">
        <f>ROUND(1000/D6,0)</f>
        <v/>
      </c>
      <c r="F6" s="57" t="inlineStr">
        <is>
          <t>RIAA / industry estimates 2024</t>
        </is>
      </c>
    </row>
    <row r="7">
      <c r="A7" t="inlineStr">
        <is>
          <t>Deezer</t>
        </is>
      </c>
      <c r="B7" s="60" t="n">
        <v>0.003</v>
      </c>
      <c r="C7" s="60" t="n">
        <v>0.005</v>
      </c>
      <c r="D7" s="60" t="n">
        <v>0.004</v>
      </c>
      <c r="E7" s="61">
        <f>ROUND(1000/D7,0)</f>
        <v/>
      </c>
      <c r="F7" t="inlineStr">
        <is>
          <t>Deezer transparency report 2024</t>
        </is>
      </c>
    </row>
    <row r="8">
      <c r="A8" s="57" t="inlineStr">
        <is>
          <t>Pandora</t>
        </is>
      </c>
      <c r="B8" s="58" t="n">
        <v>0.001</v>
      </c>
      <c r="C8" s="58" t="n">
        <v>0.002</v>
      </c>
      <c r="D8" s="58" t="n">
        <v>0.0013</v>
      </c>
      <c r="E8" s="59">
        <f>ROUND(1000/D8,0)</f>
        <v/>
      </c>
      <c r="F8" s="57" t="inlineStr">
        <is>
          <t>Pandora / SoundExchange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55" customWidth="1" min="3" max="3"/>
  </cols>
  <sheetData>
    <row r="1">
      <c r="A1" s="36" t="inlineStr">
        <is>
          <t>METHODOLOGY &amp; DATA SOURCES</t>
        </is>
      </c>
    </row>
    <row r="3" ht="36" customHeight="1">
      <c r="A3" s="55" t="inlineStr">
        <is>
          <t>Data Source 1</t>
        </is>
      </c>
      <c r="B3" s="62" t="inlineStr">
        <is>
          <t>Kaggle: Most Streamed Spotify Songs 2024</t>
        </is>
      </c>
      <c r="C3" s="63" t="inlineStr">
        <is>
          <t>https://www.kaggle.com/datasets/nelgiriyewithana/most-streamed-spotify-songs-2024</t>
        </is>
      </c>
    </row>
    <row r="4" ht="36" customHeight="1">
      <c r="A4" s="55" t="inlineStr">
        <is>
          <t>Data Source 2</t>
        </is>
      </c>
      <c r="B4" s="62" t="inlineStr">
        <is>
          <t>Spotify Loud &amp; Clear 2024 Annual Report</t>
        </is>
      </c>
      <c r="C4" s="63" t="inlineStr">
        <is>
          <t>https://loudandclear.byspotify.com</t>
        </is>
      </c>
    </row>
    <row r="5" ht="36" customHeight="1">
      <c r="A5" s="55" t="inlineStr">
        <is>
          <t>Data Source 3</t>
        </is>
      </c>
      <c r="B5" s="62" t="inlineStr">
        <is>
          <t>Water &amp; Music Research — streaming economics</t>
        </is>
      </c>
      <c r="C5" s="63" t="inlineStr">
        <is>
          <t>https://www.waterandmusic.com</t>
        </is>
      </c>
    </row>
    <row r="6" ht="36" customHeight="1">
      <c r="A6" s="55" t="inlineStr">
        <is>
          <t>Payout Rate</t>
        </is>
      </c>
      <c r="B6" s="62" t="inlineStr">
        <is>
          <t>Spotify does not disclose per-stream rates. The $0.004 figure is the widely cited industry average derived from Loud &amp; Clear aggregate payout data.</t>
        </is>
      </c>
      <c r="C6" s="63" t="inlineStr"/>
    </row>
    <row r="7" ht="36" customHeight="1">
      <c r="A7" s="55" t="inlineStr">
        <is>
          <t>Earnings Est.</t>
        </is>
      </c>
      <c r="B7" s="62" t="inlineStr">
        <is>
          <t>Gross earnings = Total Streams × $0.004. This is an estimate; actual payouts vary by listener country, subscription type, and licensing agreements.</t>
        </is>
      </c>
      <c r="C7" s="63" t="inlineStr"/>
    </row>
    <row r="8" ht="36" customHeight="1">
      <c r="A8" s="55" t="inlineStr">
        <is>
          <t>Label Splits</t>
        </is>
      </c>
      <c r="B8" s="62" t="inlineStr">
        <is>
          <t>Artist share percentages are estimates based on publicly reported contract structures. Major label artists typically retain 18–25%. Independent artists retain 65–85%.</t>
        </is>
      </c>
      <c r="C8" s="63" t="inlineStr"/>
    </row>
    <row r="9" ht="36" customHeight="1">
      <c r="A9" s="55" t="inlineStr">
        <is>
          <t>Emerging Data</t>
        </is>
      </c>
      <c r="B9" s="62" t="inlineStr">
        <is>
          <t>Stream counts for emerging/independent artists are representative estimates based on Spotify for Artists benchmarks and published industry research, not pulled from Spotify's API.</t>
        </is>
      </c>
      <c r="C9" s="6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2026-05-11T04:31:21Z</dcterms:created>
  <dcterms:modified xmlns:dcterms="http://purl.org/dc/terms/" xmlns:xsi="http://www.w3.org/2001/XMLSchema-instance" xsi:type="dcterms:W3CDTF">2026-05-11T04:31:22Z</dcterms:modified>
</cp:coreProperties>
</file>